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AQ_Data" sheetId="2" state="visible" r:id="rId4"/>
    <sheet name="Stage_Summary" sheetId="3" state="visible" r:id="rId5"/>
    <sheet name="Field_Definition" sheetId="4" state="visible" r:id="rId6"/>
  </sheets>
  <definedNames>
    <definedName function="false" hidden="true" localSheetId="1" name="_xlnm._FilterDatabase" vbProcedure="false">FAQ_Data!$A$1:$R$101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<sst xmlns="http://schemas.openxmlformats.org/spreadsheetml/2006/main" count="1664" uniqueCount="1110">
  <si>
    <r>
      <rPr>
        <b val="true"/>
        <sz val="14"/>
        <color rgb="FFFFFFFF"/>
        <rFont val="Noto Sans CJK SC"/>
        <family val="2"/>
      </rPr>
      <t xml:space="preserve">大阪觀光數據 </t>
    </r>
    <r>
      <rPr>
        <b val="true"/>
        <sz val="14"/>
        <color rgb="FFFFFFFF"/>
        <rFont val="Arial"/>
        <family val="0"/>
        <charset val="1"/>
      </rPr>
      <t xml:space="preserve">AI </t>
    </r>
    <r>
      <rPr>
        <b val="true"/>
        <sz val="14"/>
        <color rgb="FFFFFFFF"/>
        <rFont val="Noto Sans CJK SC"/>
        <family val="2"/>
      </rPr>
      <t xml:space="preserve">機器人 — 日系業者 </t>
    </r>
    <r>
      <rPr>
        <b val="true"/>
        <sz val="14"/>
        <color rgb="FFFFFFFF"/>
        <rFont val="Arial"/>
        <family val="0"/>
        <charset val="1"/>
      </rPr>
      <t xml:space="preserve">100 </t>
    </r>
    <r>
      <rPr>
        <b val="true"/>
        <sz val="14"/>
        <color rgb="FFFFFFFF"/>
        <rFont val="Noto Sans CJK SC"/>
        <family val="2"/>
      </rPr>
      <t xml:space="preserve">題 </t>
    </r>
    <r>
      <rPr>
        <b val="true"/>
        <sz val="14"/>
        <color rgb="FFFFFFFF"/>
        <rFont val="Arial"/>
        <family val="0"/>
        <charset val="1"/>
      </rPr>
      <t xml:space="preserve">FAQ </t>
    </r>
    <r>
      <rPr>
        <b val="true"/>
        <sz val="14"/>
        <color rgb="FFFFFFFF"/>
        <rFont val="Noto Sans CJK SC"/>
        <family val="2"/>
      </rPr>
      <t xml:space="preserve">測試集</t>
    </r>
  </si>
  <si>
    <t xml:space="preserve">用途</t>
  </si>
  <si>
    <r>
      <rPr>
        <b val="true"/>
        <sz val="11"/>
        <color rgb="FFFFFFFF"/>
        <rFont val="Arial"/>
        <family val="0"/>
        <charset val="1"/>
      </rPr>
      <t xml:space="preserve">Mike </t>
    </r>
    <r>
      <rPr>
        <b val="true"/>
        <sz val="11"/>
        <color rgb="FFFFFFFF"/>
        <rFont val="Noto Sans CJK SC"/>
        <family val="2"/>
      </rPr>
      <t xml:space="preserve">機器人 </t>
    </r>
    <r>
      <rPr>
        <b val="true"/>
        <sz val="11"/>
        <color rgb="FFFFFFFF"/>
        <rFont val="Arial"/>
        <family val="0"/>
        <charset val="1"/>
      </rPr>
      <t xml:space="preserve">PoC </t>
    </r>
    <r>
      <rPr>
        <b val="true"/>
        <sz val="11"/>
        <color rgb="FFFFFFFF"/>
        <rFont val="Noto Sans CJK SC"/>
        <family val="2"/>
      </rPr>
      <t xml:space="preserve">測試題庫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提案附錄能力示範</t>
    </r>
  </si>
  <si>
    <t xml:space="preserve">對象</t>
  </si>
  <si>
    <r>
      <rPr>
        <sz val="11"/>
        <rFont val="Noto Sans CJK SC"/>
        <family val="2"/>
      </rPr>
      <t xml:space="preserve">準備進入大阪市場的日系業者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餐飲、零售、住宿、體驗、服務業</t>
    </r>
    <r>
      <rPr>
        <sz val="11"/>
        <rFont val="Arial"/>
        <family val="0"/>
        <charset val="1"/>
      </rPr>
      <t xml:space="preserve">)</t>
    </r>
  </si>
  <si>
    <t xml:space="preserve">資料來源</t>
  </si>
  <si>
    <r>
      <rPr>
        <sz val="11"/>
        <rFont val="Noto Sans CJK SC"/>
        <family val="2"/>
      </rPr>
      <t xml:space="preserve">大阪觀光局 </t>
    </r>
    <r>
      <rPr>
        <sz val="11"/>
        <rFont val="Arial"/>
        <family val="0"/>
        <charset val="1"/>
      </rPr>
      <t xml:space="preserve">datahub (data_01 </t>
    </r>
    <r>
      <rPr>
        <sz val="11"/>
        <rFont val="Noto Sans CJK SC"/>
        <family val="2"/>
      </rPr>
      <t xml:space="preserve">旅マエ </t>
    </r>
    <r>
      <rPr>
        <sz val="11"/>
        <rFont val="Arial"/>
        <family val="0"/>
        <charset val="1"/>
      </rPr>
      <t xml:space="preserve">/ data_02 </t>
    </r>
    <r>
      <rPr>
        <sz val="11"/>
        <rFont val="Noto Sans CJK SC"/>
        <family val="2"/>
      </rPr>
      <t xml:space="preserve">海外見込み </t>
    </r>
    <r>
      <rPr>
        <sz val="11"/>
        <rFont val="Arial"/>
        <family val="0"/>
        <charset val="1"/>
      </rPr>
      <t xml:space="preserve">/ data_03 </t>
    </r>
    <r>
      <rPr>
        <sz val="11"/>
        <rFont val="Noto Sans CJK SC"/>
        <family val="2"/>
      </rPr>
      <t xml:space="preserve">旅ナカ・旅アト</t>
    </r>
    <r>
      <rPr>
        <sz val="11"/>
        <rFont val="Arial"/>
        <family val="0"/>
        <charset val="1"/>
      </rPr>
      <t xml:space="preserve">)</t>
    </r>
  </si>
  <si>
    <t xml:space="preserve">題數</t>
  </si>
  <si>
    <r>
      <rPr>
        <sz val="11"/>
        <rFont val="Arial"/>
        <family val="0"/>
        <charset val="1"/>
      </rPr>
      <t xml:space="preserve">100 </t>
    </r>
    <r>
      <rPr>
        <sz val="11"/>
        <rFont val="Noto Sans CJK SC"/>
        <family val="2"/>
      </rPr>
      <t xml:space="preserve">題 </t>
    </r>
    <r>
      <rPr>
        <sz val="11"/>
        <rFont val="Arial"/>
        <family val="0"/>
        <charset val="1"/>
      </rPr>
      <t xml:space="preserve">× 10 </t>
    </r>
    <r>
      <rPr>
        <sz val="11"/>
        <rFont val="Noto Sans CJK SC"/>
        <family val="2"/>
      </rPr>
      <t xml:space="preserve">個決策階段</t>
    </r>
  </si>
  <si>
    <t xml:space="preserve">檔案結構</t>
  </si>
  <si>
    <t xml:space="preserve">分頁名稱</t>
  </si>
  <si>
    <t xml:space="preserve">使用者</t>
  </si>
  <si>
    <t xml:space="preserve">Overview</t>
  </si>
  <si>
    <r>
      <rPr>
        <sz val="11"/>
        <rFont val="Noto Sans CJK SC"/>
        <family val="2"/>
      </rPr>
      <t xml:space="preserve">本說明頁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你正在看的這頁</t>
    </r>
    <r>
      <rPr>
        <sz val="11"/>
        <rFont val="Arial"/>
        <family val="0"/>
        <charset val="1"/>
      </rPr>
      <t xml:space="preserve">)</t>
    </r>
  </si>
  <si>
    <t xml:space="preserve">人類閱讀</t>
  </si>
  <si>
    <t xml:space="preserve">FAQ_Data</t>
  </si>
  <si>
    <r>
      <rPr>
        <sz val="11"/>
        <rFont val="Noto Sans CJK SC"/>
        <family val="2"/>
      </rPr>
      <t xml:space="preserve">主資料表</t>
    </r>
    <r>
      <rPr>
        <sz val="11"/>
        <rFont val="Arial"/>
        <family val="0"/>
        <charset val="1"/>
      </rPr>
      <t xml:space="preserve">,100 </t>
    </r>
    <r>
      <rPr>
        <sz val="11"/>
        <rFont val="Noto Sans CJK SC"/>
        <family val="2"/>
      </rPr>
      <t xml:space="preserve">列扁平結構</t>
    </r>
  </si>
  <si>
    <r>
      <rPr>
        <sz val="11"/>
        <rFont val="Arial"/>
        <family val="0"/>
        <charset val="1"/>
      </rPr>
      <t xml:space="preserve">AI / RAG </t>
    </r>
    <r>
      <rPr>
        <sz val="11"/>
        <rFont val="Noto Sans CJK SC"/>
        <family val="2"/>
      </rPr>
      <t xml:space="preserve">系統直接吃</t>
    </r>
  </si>
  <si>
    <t xml:space="preserve">Stage_Summary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</si>
  <si>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個階段的題數與評分統計</t>
    </r>
  </si>
  <si>
    <r>
      <rPr>
        <sz val="11"/>
        <rFont val="Noto Sans CJK SC"/>
        <family val="2"/>
      </rPr>
      <t xml:space="preserve">人類閱讀 </t>
    </r>
    <r>
      <rPr>
        <sz val="11"/>
        <rFont val="Arial"/>
        <family val="0"/>
        <charset val="1"/>
      </rPr>
      <t xml:space="preserve">/ Demo </t>
    </r>
    <r>
      <rPr>
        <sz val="11"/>
        <rFont val="Noto Sans CJK SC"/>
        <family val="2"/>
      </rPr>
      <t xml:space="preserve">參考</t>
    </r>
  </si>
  <si>
    <t xml:space="preserve">Field_Definition</t>
  </si>
  <si>
    <t xml:space="preserve">欄位定義說明</t>
  </si>
  <si>
    <r>
      <rPr>
        <sz val="11"/>
        <rFont val="Arial"/>
        <family val="0"/>
        <charset val="1"/>
      </rPr>
      <t xml:space="preserve">Mike / </t>
    </r>
    <r>
      <rPr>
        <sz val="11"/>
        <rFont val="Noto Sans CJK SC"/>
        <family val="2"/>
      </rPr>
      <t xml:space="preserve">工程端參考</t>
    </r>
  </si>
  <si>
    <t xml:space="preserve">數據標記規則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</si>
  <si>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實數</t>
    </r>
    <r>
      <rPr>
        <sz val="11"/>
        <rFont val="Arial"/>
        <family val="0"/>
        <charset val="1"/>
      </rPr>
      <t xml:space="preserve">]</t>
    </r>
  </si>
  <si>
    <t xml:space="preserve">已從旅マエ基本集計取得、可直接使用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</si>
  <si>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模擬</t>
    </r>
    <r>
      <rPr>
        <sz val="11"/>
        <rFont val="Arial"/>
        <family val="0"/>
        <charset val="1"/>
      </rPr>
      <t xml:space="preserve">]</t>
    </r>
  </si>
  <si>
    <r>
      <rPr>
        <sz val="11"/>
        <rFont val="Noto Sans CJK SC"/>
        <family val="2"/>
      </rPr>
      <t xml:space="preserve">需以 </t>
    </r>
    <r>
      <rPr>
        <sz val="11"/>
        <rFont val="Arial"/>
        <family val="0"/>
        <charset val="1"/>
      </rPr>
      <t xml:space="preserve">data_03 </t>
    </r>
    <r>
      <rPr>
        <sz val="11"/>
        <rFont val="Noto Sans CJK SC"/>
        <family val="2"/>
      </rPr>
      <t xml:space="preserve">實際數據替換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</si>
  <si>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餵食使用建議</t>
    </r>
  </si>
  <si>
    <r>
      <rPr>
        <sz val="11"/>
        <rFont val="Arial"/>
        <family val="0"/>
        <charset val="1"/>
      </rPr>
      <t xml:space="preserve">1. RAG </t>
    </r>
    <r>
      <rPr>
        <sz val="11"/>
        <rFont val="Noto Sans CJK SC"/>
        <family val="2"/>
      </rPr>
      <t xml:space="preserve">灌庫</t>
    </r>
  </si>
  <si>
    <r>
      <rPr>
        <sz val="11"/>
        <rFont val="Noto Sans CJK SC"/>
        <family val="2"/>
      </rPr>
      <t xml:space="preserve">讀取 </t>
    </r>
    <r>
      <rPr>
        <sz val="11"/>
        <rFont val="Arial"/>
        <family val="0"/>
        <charset val="1"/>
      </rPr>
      <t xml:space="preserve">FAQ_Data </t>
    </r>
    <r>
      <rPr>
        <sz val="11"/>
        <rFont val="Noto Sans CJK SC"/>
        <family val="2"/>
      </rPr>
      <t xml:space="preserve">分頁</t>
    </r>
    <r>
      <rPr>
        <sz val="11"/>
        <rFont val="Arial"/>
        <family val="0"/>
        <charset val="1"/>
      </rPr>
      <t xml:space="preserve">,</t>
    </r>
    <r>
      <rPr>
        <sz val="11"/>
        <rFont val="Noto Sans CJK SC"/>
        <family val="2"/>
      </rPr>
      <t xml:space="preserve">每列為一筆 </t>
    </r>
    <r>
      <rPr>
        <sz val="11"/>
        <rFont val="Arial"/>
        <family val="0"/>
        <charset val="1"/>
      </rPr>
      <t xml:space="preserve">chunk,</t>
    </r>
    <r>
      <rPr>
        <sz val="11"/>
        <rFont val="Noto Sans CJK SC"/>
        <family val="2"/>
      </rPr>
      <t xml:space="preserve">可用 </t>
    </r>
    <r>
      <rPr>
        <sz val="11"/>
        <rFont val="Arial"/>
        <family val="0"/>
        <charset val="1"/>
      </rPr>
      <t xml:space="preserve">question + answer_direction </t>
    </r>
    <r>
      <rPr>
        <sz val="11"/>
        <rFont val="Noto Sans CJK SC"/>
        <family val="2"/>
      </rPr>
      <t xml:space="preserve">欄位向量化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</si>
  <si>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測試集評估</t>
    </r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</si>
  <si>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question_variants </t>
    </r>
    <r>
      <rPr>
        <sz val="11"/>
        <rFont val="Noto Sans CJK SC"/>
        <family val="2"/>
      </rPr>
      <t xml:space="preserve">欄位生成多種使用者問法</t>
    </r>
    <r>
      <rPr>
        <sz val="11"/>
        <rFont val="Arial"/>
        <family val="0"/>
        <charset val="1"/>
      </rPr>
      <t xml:space="preserve">,</t>
    </r>
    <r>
      <rPr>
        <sz val="11"/>
        <rFont val="Noto Sans CJK SC"/>
        <family val="2"/>
      </rPr>
      <t xml:space="preserve">跑機器人輸出</t>
    </r>
    <r>
      <rPr>
        <sz val="11"/>
        <rFont val="Arial"/>
        <family val="0"/>
        <charset val="1"/>
      </rPr>
      <t xml:space="preserve">,</t>
    </r>
    <r>
      <rPr>
        <sz val="11"/>
        <rFont val="Noto Sans CJK SC"/>
        <family val="2"/>
      </rPr>
      <t xml:space="preserve">比對 </t>
    </r>
    <r>
      <rPr>
        <sz val="11"/>
        <rFont val="Arial"/>
        <family val="0"/>
        <charset val="1"/>
      </rPr>
      <t xml:space="preserve">answer_direction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source </t>
    </r>
    <r>
      <rPr>
        <sz val="11"/>
        <rFont val="Noto Sans CJK SC"/>
        <family val="2"/>
      </rPr>
      <t xml:space="preserve">是否命中</t>
    </r>
  </si>
  <si>
    <r>
      <rPr>
        <sz val="11"/>
        <rFont val="Arial"/>
        <family val="0"/>
        <charset val="1"/>
      </rPr>
      <t xml:space="preserve">3. Prompt </t>
    </r>
    <r>
      <rPr>
        <sz val="11"/>
        <rFont val="Noto Sans CJK SC"/>
        <family val="2"/>
      </rPr>
      <t xml:space="preserve">工程</t>
    </r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</si>
  <si>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stage + business_value </t>
    </r>
    <r>
      <rPr>
        <sz val="11"/>
        <rFont val="Noto Sans CJK SC"/>
        <family val="2"/>
      </rPr>
      <t xml:space="preserve">欄位作為 </t>
    </r>
    <r>
      <rPr>
        <sz val="11"/>
        <rFont val="Arial"/>
        <family val="0"/>
        <charset val="1"/>
      </rPr>
      <t xml:space="preserve">few-shot </t>
    </r>
    <r>
      <rPr>
        <sz val="11"/>
        <rFont val="Noto Sans CJK SC"/>
        <family val="2"/>
      </rPr>
      <t xml:space="preserve">範例選擇依據</t>
    </r>
  </si>
  <si>
    <t xml:space="preserve">評分加總</t>
  </si>
  <si>
    <t xml:space="preserve">70% (350+ / 500)</t>
  </si>
  <si>
    <t xml:space="preserve">可用門檻</t>
  </si>
  <si>
    <t xml:space="preserve">80% (400+ / 500)</t>
  </si>
  <si>
    <r>
      <rPr>
        <sz val="11"/>
        <rFont val="Noto Sans CJK SC"/>
        <family val="2"/>
      </rPr>
      <t xml:space="preserve">提案 </t>
    </r>
    <r>
      <rPr>
        <sz val="11"/>
        <rFont val="Arial"/>
        <family val="0"/>
        <charset val="1"/>
      </rPr>
      <t xml:space="preserve">Demo </t>
    </r>
    <r>
      <rPr>
        <sz val="11"/>
        <rFont val="Noto Sans CJK SC"/>
        <family val="2"/>
      </rPr>
      <t xml:space="preserve">等級</t>
    </r>
  </si>
  <si>
    <t xml:space="preserve">90% (450+ / 500)</t>
  </si>
  <si>
    <t xml:space="preserve">上線等級</t>
  </si>
  <si>
    <t xml:space="preserve">id</t>
  </si>
  <si>
    <t xml:space="preserve">stage_no</t>
  </si>
  <si>
    <t xml:space="preserve">stage_name</t>
  </si>
  <si>
    <t xml:space="preserve">question</t>
  </si>
  <si>
    <t xml:space="preserve">question_jp</t>
  </si>
  <si>
    <t xml:space="preserve">question_zh_variant</t>
  </si>
  <si>
    <t xml:space="preserve">question_en_variant</t>
  </si>
  <si>
    <t xml:space="preserve">answer_direction</t>
  </si>
  <si>
    <t xml:space="preserve">key_data_points</t>
  </si>
  <si>
    <t xml:space="preserve">data_source_primary</t>
  </si>
  <si>
    <t xml:space="preserve">data_source_secondary</t>
  </si>
  <si>
    <t xml:space="preserve">data_type</t>
  </si>
  <si>
    <t xml:space="preserve">business_value</t>
  </si>
  <si>
    <t xml:space="preserve">scoring_criteria</t>
  </si>
  <si>
    <t xml:space="preserve">max_score</t>
  </si>
  <si>
    <t xml:space="preserve">test_priority</t>
  </si>
  <si>
    <t xml:space="preserve">is_boundary_test</t>
  </si>
  <si>
    <t xml:space="preserve">is_demo_question</t>
  </si>
  <si>
    <t xml:space="preserve">Q1</t>
  </si>
  <si>
    <t xml:space="preserve">市場規模判斷</t>
  </si>
  <si>
    <r>
      <rPr>
        <sz val="10"/>
        <rFont val="Noto Sans CJK SC"/>
        <family val="2"/>
      </rPr>
      <t xml:space="preserve">大阪每年外國旅客總量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前三大市場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</si>
  <si>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大阪のインバウンドは年間何人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トップ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市場は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</si>
  <si>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大阪一年來多少外國觀光客</t>
    </r>
    <r>
      <rPr>
        <sz val="10"/>
        <rFont val="Arial"/>
        <family val="0"/>
        <charset val="1"/>
      </rPr>
      <t xml:space="preserve">?</t>
    </r>
  </si>
  <si>
    <t xml:space="preserve">How many foreign tourists visit Osaka annually? Top 3 markets?</t>
  </si>
  <si>
    <r>
      <rPr>
        <sz val="10"/>
        <rFont val="Noto Sans CJK SC"/>
        <family val="2"/>
      </rPr>
      <t xml:space="preserve">大阪在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年度接待約 </t>
    </r>
    <r>
      <rPr>
        <sz val="10"/>
        <rFont val="Arial"/>
        <family val="0"/>
        <charset val="1"/>
      </rPr>
      <t xml:space="preserve">1,247 </t>
    </r>
    <r>
      <rPr>
        <sz val="10"/>
        <rFont val="Noto Sans CJK SC"/>
        <family val="2"/>
      </rPr>
      <t xml:space="preserve">萬人次外國旅客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較疫前 </t>
    </r>
    <r>
      <rPr>
        <sz val="10"/>
        <rFont val="Arial"/>
        <family val="0"/>
        <charset val="1"/>
      </rPr>
      <t xml:space="preserve">2019 </t>
    </r>
    <r>
      <rPr>
        <sz val="10"/>
        <rFont val="Noto Sans CJK SC"/>
        <family val="2"/>
      </rPr>
      <t xml:space="preserve">年回復至約 </t>
    </r>
    <r>
      <rPr>
        <sz val="10"/>
        <rFont val="Arial"/>
        <family val="0"/>
        <charset val="1"/>
      </rPr>
      <t xml:space="preserve">94%</t>
    </r>
    <r>
      <rPr>
        <sz val="10"/>
        <rFont val="Noto Sans CJK SC"/>
        <family val="2"/>
      </rPr>
      <t xml:space="preserve">。前三大客源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韓國 </t>
    </r>
    <r>
      <rPr>
        <sz val="10"/>
        <rFont val="Arial"/>
        <family val="0"/>
        <charset val="1"/>
      </rPr>
      <t xml:space="preserve">26%</t>
    </r>
    <r>
      <rPr>
        <sz val="10"/>
        <rFont val="Noto Sans CJK SC"/>
        <family val="2"/>
      </rPr>
      <t xml:space="preserve">、中國 </t>
    </r>
    <r>
      <rPr>
        <sz val="10"/>
        <rFont val="Arial"/>
        <family val="0"/>
        <charset val="1"/>
      </rPr>
      <t xml:space="preserve">22%</t>
    </r>
    <r>
      <rPr>
        <sz val="10"/>
        <rFont val="Noto Sans CJK SC"/>
        <family val="2"/>
      </rPr>
      <t xml:space="preserve">、台灣 </t>
    </r>
    <r>
      <rPr>
        <sz val="10"/>
        <rFont val="Arial"/>
        <family val="0"/>
        <charset val="1"/>
      </rPr>
      <t xml:space="preserve">17%</t>
    </r>
    <r>
      <rPr>
        <sz val="10"/>
        <rFont val="Noto Sans CJK SC"/>
        <family val="2"/>
      </rPr>
      <t xml:space="preserve">。亞洲市場合計超過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。</t>
    </r>
  </si>
  <si>
    <t xml:space="preserve">總人次、前三市場排序、復甦比例</t>
  </si>
  <si>
    <t xml:space="preserve">來阪外國人旅遊者數推計</t>
  </si>
  <si>
    <t xml:space="preserve">訪日外國人關西國際空港出口調查</t>
  </si>
  <si>
    <t xml:space="preserve">模擬</t>
  </si>
  <si>
    <t xml:space="preserve">確認目標客群是否在市場規模內</t>
  </si>
  <si>
    <r>
      <rPr>
        <sz val="10"/>
        <rFont val="Noto Sans CJK SC"/>
        <family val="2"/>
      </rPr>
      <t xml:space="preserve">總量數字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前三排序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年份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復甦對比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報告連結</t>
    </r>
  </si>
  <si>
    <t xml:space="preserve">smoke</t>
  </si>
  <si>
    <t xml:space="preserve">N</t>
  </si>
  <si>
    <t xml:space="preserve">Q2</t>
  </si>
  <si>
    <r>
      <rPr>
        <sz val="10"/>
        <rFont val="Noto Sans CJK SC"/>
        <family val="2"/>
      </rPr>
      <t xml:space="preserve">大阪外國旅客近三年成長趨勢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</si>
  <si>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コロナ後の回復はどう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</si>
  <si>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成長中還是衰退中</t>
    </r>
    <r>
      <rPr>
        <sz val="10"/>
        <rFont val="Arial"/>
        <family val="0"/>
        <charset val="1"/>
      </rPr>
      <t xml:space="preserve">?</t>
    </r>
  </si>
  <si>
    <t xml:space="preserve">Recent 3-year growth trend?</t>
  </si>
  <si>
    <r>
      <rPr>
        <sz val="10"/>
        <rFont val="Arial"/>
        <family val="0"/>
        <charset val="1"/>
      </rPr>
      <t xml:space="preserve">2021→2023 </t>
    </r>
    <r>
      <rPr>
        <sz val="10"/>
        <rFont val="Noto Sans CJK SC"/>
        <family val="2"/>
      </rPr>
      <t xml:space="preserve">年大阪外國旅客呈強勁回復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整體年增率約 </t>
    </r>
    <r>
      <rPr>
        <sz val="10"/>
        <rFont val="Arial"/>
        <family val="0"/>
        <charset val="1"/>
      </rPr>
      <t xml:space="preserve">+XX%</t>
    </r>
    <r>
      <rPr>
        <sz val="10"/>
        <rFont val="Noto Sans CJK SC"/>
        <family val="2"/>
      </rPr>
      <t xml:space="preserve">。最快復甦市場為東南亞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疫後超越疫前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、最慢為中國市場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政策影響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</si>
  <si>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趨勢方向、年增率、識別異常成長市場</t>
  </si>
  <si>
    <r>
      <rPr>
        <sz val="10"/>
        <rFont val="Noto Sans CJK SC"/>
        <family val="2"/>
      </rPr>
      <t xml:space="preserve">來阪外國人旅遊者數推計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時序</t>
    </r>
    <r>
      <rPr>
        <sz val="10"/>
        <rFont val="Arial"/>
        <family val="0"/>
        <charset val="1"/>
      </rPr>
      <t xml:space="preserve">)</t>
    </r>
  </si>
  <si>
    <t xml:space="preserve">判斷市場進場時機</t>
  </si>
  <si>
    <r>
      <rPr>
        <sz val="10"/>
        <rFont val="Noto Sans CJK SC"/>
        <family val="2"/>
      </rPr>
      <t xml:space="preserve">趨勢方向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年增率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異常成長市場識別</t>
    </r>
  </si>
  <si>
    <t xml:space="preserve">standard</t>
  </si>
  <si>
    <t xml:space="preserve">Q3</t>
  </si>
  <si>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東京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京都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外國旅客誰多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</si>
  <si>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大阪・東京・京都の比較は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</si>
  <si>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想進關西市場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大阪比較有量還是京都</t>
    </r>
    <r>
      <rPr>
        <sz val="10"/>
        <rFont val="Arial"/>
        <family val="0"/>
        <charset val="1"/>
      </rPr>
      <t xml:space="preserve">?</t>
    </r>
  </si>
  <si>
    <t xml:space="preserve">Osaka vs Tokyo vs Kyoto in tourist volume?</t>
  </si>
  <si>
    <r>
      <rPr>
        <sz val="10"/>
        <rFont val="Noto Sans CJK SC"/>
        <family val="2"/>
      </rPr>
      <t xml:space="preserve">東京年外國旅客約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1,247 </t>
    </r>
    <r>
      <rPr>
        <sz val="10"/>
        <rFont val="Noto Sans CJK SC"/>
        <family val="2"/>
      </rPr>
      <t xml:space="preserve">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京都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萬。但結構差異大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京都多為日歸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含住大阪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、大阪過夜比例高、東京商務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觀光雙軌。</t>
    </r>
  </si>
  <si>
    <t xml:space="preserve">三都量對比、結構差異</t>
  </si>
  <si>
    <r>
      <rPr>
        <sz val="10"/>
        <rFont val="Arial"/>
        <family val="0"/>
        <charset val="1"/>
      </rPr>
      <t xml:space="preserve">datahub + </t>
    </r>
    <r>
      <rPr>
        <sz val="10"/>
        <rFont val="Noto Sans CJK SC"/>
        <family val="2"/>
      </rPr>
      <t xml:space="preserve">全國觀光統計</t>
    </r>
  </si>
  <si>
    <t xml:space="preserve">三都選擇判斷</t>
  </si>
  <si>
    <r>
      <rPr>
        <sz val="10"/>
        <rFont val="Noto Sans CJK SC"/>
        <family val="2"/>
      </rPr>
      <t xml:space="preserve">三都對比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為什麼選大阪的觀點</t>
    </r>
  </si>
  <si>
    <t xml:space="preserve">Q4</t>
  </si>
  <si>
    <r>
      <rPr>
        <sz val="10"/>
        <rFont val="Noto Sans CJK SC"/>
        <family val="2"/>
      </rPr>
      <t xml:space="preserve">大阪外國旅客過夜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日歸比例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</si>
  <si>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宿泊客と日帰り客の比率は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</si>
  <si>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過夜的多還是日歸的多</t>
    </r>
    <r>
      <rPr>
        <sz val="10"/>
        <rFont val="Arial"/>
        <family val="0"/>
        <charset val="1"/>
      </rPr>
      <t xml:space="preserve">?</t>
    </r>
  </si>
  <si>
    <t xml:space="preserve">Overnight vs day-trip ratio?</t>
  </si>
  <si>
    <r>
      <rPr>
        <sz val="10"/>
        <rFont val="Noto Sans CJK SC"/>
        <family val="2"/>
      </rPr>
      <t xml:space="preserve">外國旅客過夜比例約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、平均住宿天數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晚。京都旅客常住大阪、放大大阪住宿經濟圈。</t>
    </r>
  </si>
  <si>
    <t xml:space="preserve">過夜比例、平均住宿天數</t>
  </si>
  <si>
    <t xml:space="preserve">訪日外國人關西空港出口調查</t>
  </si>
  <si>
    <r>
      <rPr>
        <sz val="10"/>
        <rFont val="Noto Sans CJK SC"/>
        <family val="2"/>
      </rPr>
      <t xml:space="preserve">住宿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餐飲業規劃</t>
    </r>
  </si>
  <si>
    <r>
      <rPr>
        <sz val="10"/>
        <rFont val="Noto Sans CJK SC"/>
        <family val="2"/>
      </rPr>
      <t xml:space="preserve">比例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平均天數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住宿經濟圈解讀</t>
    </r>
  </si>
  <si>
    <t xml:space="preserve">Q5</t>
  </si>
  <si>
    <r>
      <rPr>
        <sz val="10"/>
        <rFont val="Noto Sans CJK SC"/>
        <family val="2"/>
      </rPr>
      <t xml:space="preserve">外國旅客在大阪平均消費金額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</si>
  <si>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外国人観光客の一人当たり消費額は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</si>
  <si>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外國客平均花多少錢</t>
    </r>
    <r>
      <rPr>
        <sz val="10"/>
        <rFont val="Arial"/>
        <family val="0"/>
        <charset val="1"/>
      </rPr>
      <t xml:space="preserve">?</t>
    </r>
  </si>
  <si>
    <t xml:space="preserve">Average spending per foreign tourist?</t>
  </si>
  <si>
    <r>
      <rPr>
        <sz val="10"/>
        <rFont val="Noto Sans CJK SC"/>
        <family val="2"/>
      </rPr>
      <t xml:space="preserve">外國旅客一人在大阪平均消費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万円。歐美市場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亞洲市場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品類占比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住宿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、餐飲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、購物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、娛樂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。</t>
    </r>
  </si>
  <si>
    <t xml:space="preserve">總額、市場差異、品類拆解</t>
  </si>
  <si>
    <t xml:space="preserve">訪日旅客消費調查</t>
  </si>
  <si>
    <t xml:space="preserve">客單價設定基準</t>
  </si>
  <si>
    <r>
      <rPr>
        <sz val="10"/>
        <rFont val="Noto Sans CJK SC"/>
        <family val="2"/>
      </rPr>
      <t xml:space="preserve">總額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品類拆解</t>
    </r>
  </si>
  <si>
    <t xml:space="preserve">Q6</t>
  </si>
  <si>
    <r>
      <rPr>
        <sz val="10"/>
        <rFont val="Noto Sans CJK SC"/>
        <family val="2"/>
      </rPr>
      <t xml:space="preserve">哪國旅客平均消費最高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</si>
  <si>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客単価が一番高い国は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</si>
  <si>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想做高端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鎖定哪國最好</t>
    </r>
    <r>
      <rPr>
        <sz val="10"/>
        <rFont val="Arial"/>
        <family val="0"/>
        <charset val="1"/>
      </rPr>
      <t xml:space="preserve">?</t>
    </r>
  </si>
  <si>
    <t xml:space="preserve">Which market spends the most per capita?</t>
  </si>
  <si>
    <r>
      <rPr>
        <sz val="10"/>
        <rFont val="Noto Sans CJK SC"/>
        <family val="2"/>
      </rPr>
      <t xml:space="preserve">客單價排行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澳洲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英國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美國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法國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加拿大。與量大市場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韓中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區隔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量大客群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值高客群。</t>
    </r>
  </si>
  <si>
    <r>
      <rPr>
        <sz val="10"/>
        <rFont val="Noto Sans CJK SC"/>
        <family val="2"/>
      </rPr>
      <t xml:space="preserve">客單價排行、量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值區隔</t>
    </r>
  </si>
  <si>
    <t xml:space="preserve">高端業者鎖定客群</t>
  </si>
  <si>
    <r>
      <rPr>
        <sz val="10"/>
        <rFont val="Noto Sans CJK SC"/>
        <family val="2"/>
      </rPr>
      <t xml:space="preserve">客單價排行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量值區隔策略</t>
    </r>
  </si>
  <si>
    <t xml:space="preserve">Y</t>
  </si>
  <si>
    <t xml:space="preserve">Q7</t>
  </si>
  <si>
    <r>
      <rPr>
        <sz val="10"/>
        <rFont val="Noto Sans CJK SC"/>
        <family val="2"/>
      </rPr>
      <t xml:space="preserve">大阪過夜旅客平均停留天數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</si>
  <si>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平均何泊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</si>
  <si>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外國客在大阪通常住幾天</t>
    </r>
    <r>
      <rPr>
        <sz val="10"/>
        <rFont val="Arial"/>
        <family val="0"/>
        <charset val="1"/>
      </rPr>
      <t xml:space="preserve">?</t>
    </r>
  </si>
  <si>
    <t xml:space="preserve">Average stay nights?</t>
  </si>
  <si>
    <r>
      <rPr>
        <sz val="10"/>
        <rFont val="Noto Sans CJK SC"/>
        <family val="2"/>
      </rPr>
      <t xml:space="preserve">外國旅客平均停留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晚。歐美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亞洲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歐美一趟通常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週、亞洲短假 </t>
    </r>
    <r>
      <rPr>
        <sz val="10"/>
        <rFont val="Arial"/>
        <family val="0"/>
        <charset val="1"/>
      </rPr>
      <t xml:space="preserve">3-5 </t>
    </r>
    <r>
      <rPr>
        <sz val="10"/>
        <rFont val="Noto Sans CJK SC"/>
        <family val="2"/>
      </rPr>
      <t xml:space="preserve">天為主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</si>
  <si>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平均天數、市場差異</t>
  </si>
  <si>
    <t xml:space="preserve">體驗型業態時長設計</t>
  </si>
  <si>
    <r>
      <rPr>
        <sz val="10"/>
        <rFont val="Noto Sans CJK SC"/>
        <family val="2"/>
      </rPr>
      <t xml:space="preserve">天數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</si>
  <si>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Q8</t>
  </si>
  <si>
    <r>
      <rPr>
        <sz val="10"/>
        <rFont val="Noto Sans CJK SC"/>
        <family val="2"/>
      </rPr>
      <t xml:space="preserve">大阪外國旅客「第一次」</t>
    </r>
    <r>
      <rPr>
        <sz val="10"/>
        <rFont val="Arial"/>
        <family val="0"/>
        <charset val="1"/>
      </rPr>
      <t xml:space="preserve">vs</t>
    </r>
    <r>
      <rPr>
        <sz val="10"/>
        <rFont val="Noto Sans CJK SC"/>
        <family val="2"/>
      </rPr>
      <t xml:space="preserve">「重遊」比例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</si>
  <si>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リピーター比率は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</si>
  <si>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來大阪的是新手還是老手</t>
    </r>
    <r>
      <rPr>
        <sz val="10"/>
        <rFont val="Arial"/>
        <family val="0"/>
        <charset val="1"/>
      </rPr>
      <t xml:space="preserve">?</t>
    </r>
  </si>
  <si>
    <t xml:space="preserve">First-timers vs repeaters?</t>
  </si>
  <si>
    <r>
      <rPr>
        <sz val="10"/>
        <rFont val="Noto Sans CJK SC"/>
        <family val="2"/>
      </rPr>
      <t xml:space="preserve">重遊比例約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。重訪客行為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更深度、更分散、更省預算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初訪客集中知名景點。</t>
    </r>
  </si>
  <si>
    <t xml:space="preserve">比例、行為差異</t>
  </si>
  <si>
    <t xml:space="preserve">旅マエ海外市場調查</t>
  </si>
  <si>
    <t xml:space="preserve">出口調查</t>
  </si>
  <si>
    <r>
      <rPr>
        <sz val="10"/>
        <rFont val="Noto Sans CJK SC"/>
        <family val="2"/>
      </rPr>
      <t xml:space="preserve">深度體驗業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標準觀光業選擇</t>
    </r>
  </si>
  <si>
    <r>
      <rPr>
        <sz val="10"/>
        <rFont val="Noto Sans CJK SC"/>
        <family val="2"/>
      </rPr>
      <t xml:space="preserve">比例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行為差異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</si>
  <si>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Q9</t>
  </si>
  <si>
    <r>
      <rPr>
        <sz val="10"/>
        <rFont val="Noto Sans CJK SC"/>
        <family val="2"/>
      </rPr>
      <t xml:space="preserve">大阪國內旅客量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跟外國旅客比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</si>
  <si>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国内観光客の規模は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</si>
  <si>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日本國內客有多少</t>
    </r>
    <r>
      <rPr>
        <sz val="10"/>
        <rFont val="Arial"/>
        <family val="0"/>
        <charset val="1"/>
      </rPr>
      <t xml:space="preserve">?</t>
    </r>
  </si>
  <si>
    <t xml:space="preserve">Domestic tourist volume?</t>
  </si>
  <si>
    <r>
      <rPr>
        <sz val="10"/>
        <rFont val="Noto Sans CJK SC"/>
        <family val="2"/>
      </rPr>
      <t xml:space="preserve">國內年旅客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萬人次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外國 </t>
    </r>
    <r>
      <rPr>
        <sz val="10"/>
        <rFont val="Arial"/>
        <family val="0"/>
        <charset val="1"/>
      </rPr>
      <t xml:space="preserve">1,247 </t>
    </r>
    <r>
      <rPr>
        <sz val="10"/>
        <rFont val="Noto Sans CJK SC"/>
        <family val="2"/>
      </rPr>
      <t xml:space="preserve">萬。國內客分布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關西內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、關東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、其他 </t>
    </r>
    <r>
      <rPr>
        <sz val="10"/>
        <rFont val="Arial"/>
        <family val="0"/>
        <charset val="1"/>
      </rPr>
      <t xml:space="preserve">X%</t>
    </r>
    <r>
      <rPr>
        <sz val="10"/>
        <rFont val="Noto Sans CJK SC"/>
        <family val="2"/>
      </rPr>
      <t xml:space="preserve">。</t>
    </r>
  </si>
  <si>
    <t xml:space="preserve">國內外比例、地區分布</t>
  </si>
  <si>
    <t xml:space="preserve">大阪版國內觀光統計調查</t>
  </si>
  <si>
    <t xml:space="preserve">提醒不要只看觀光客</t>
  </si>
  <si>
    <r>
      <rPr>
        <sz val="10"/>
        <rFont val="Noto Sans CJK SC"/>
        <family val="2"/>
      </rPr>
      <t xml:space="preserve">總量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內外比例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提醒平衡策略</t>
    </r>
  </si>
  <si>
    <t xml:space="preserve">Q10</t>
  </si>
  <si>
    <r>
      <rPr>
        <sz val="10"/>
        <rFont val="Noto Sans CJK SC"/>
        <family val="2"/>
      </rPr>
      <t xml:space="preserve">進大阪市場整體成本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門檻概況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</si>
  <si>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大阪で店出すコスト感は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</si>
  <si>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進大阪市場的綜合成本怎麼樣</t>
    </r>
    <r>
      <rPr>
        <sz val="10"/>
        <rFont val="Arial"/>
        <family val="0"/>
        <charset val="1"/>
      </rPr>
      <t xml:space="preserve">?</t>
    </r>
  </si>
  <si>
    <t xml:space="preserve">Overall market entry cost?</t>
  </si>
  <si>
    <r>
      <rPr>
        <sz val="10"/>
        <rFont val="Noto Sans CJK SC"/>
        <family val="2"/>
      </rPr>
      <t xml:space="preserve">這是 </t>
    </r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資料範圍外的問題。</t>
    </r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為觀光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旅客數據平台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商業成本資訊建議查詢 </t>
    </r>
    <r>
      <rPr>
        <sz val="10"/>
        <rFont val="Arial"/>
        <family val="0"/>
        <charset val="1"/>
      </rPr>
      <t xml:space="preserve">JETRO</t>
    </r>
    <r>
      <rPr>
        <sz val="10"/>
        <rFont val="Noto Sans CJK SC"/>
        <family val="2"/>
      </rPr>
      <t xml:space="preserve">、大阪商工會議所、不動產協會等資源。</t>
    </r>
  </si>
  <si>
    <t xml:space="preserve">明確說明邊界</t>
  </si>
  <si>
    <t xml:space="preserve">無 — 邊界外題</t>
  </si>
  <si>
    <t xml:space="preserve">邊界外</t>
  </si>
  <si>
    <t xml:space="preserve">測試機器人會不會誠實說『答不出來』</t>
  </si>
  <si>
    <r>
      <rPr>
        <sz val="10"/>
        <rFont val="Noto Sans CJK SC"/>
        <family val="2"/>
      </rPr>
      <t xml:space="preserve">不亂答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明確邊界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給延伸方向</t>
    </r>
  </si>
  <si>
    <t xml:space="preserve">edge</t>
  </si>
  <si>
    <t xml:space="preserve">Q11</t>
  </si>
  <si>
    <t xml:space="preserve">客群選擇</t>
  </si>
  <si>
    <r>
      <rPr>
        <sz val="10"/>
        <rFont val="Noto Sans CJK SC"/>
        <family val="2"/>
      </rPr>
      <t xml:space="preserve">哪國旅客對在地飲食興趣最高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</si>
  <si>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ローカルフードに興味がある国は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</si>
  <si>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外國人最想吃什麼</t>
    </r>
    <r>
      <rPr>
        <sz val="10"/>
        <rFont val="Arial"/>
        <family val="0"/>
        <charset val="1"/>
      </rPr>
      <t xml:space="preserve">?</t>
    </r>
  </si>
  <si>
    <t xml:space="preserve">Which market is most interested in local food?</t>
  </si>
  <si>
    <r>
      <rPr>
        <sz val="10"/>
        <rFont val="Noto Sans CJK SC"/>
        <family val="2"/>
      </rPr>
      <t xml:space="preserve">在地飲食活動興趣 </t>
    </r>
    <r>
      <rPr>
        <sz val="10"/>
        <rFont val="Arial"/>
        <family val="0"/>
        <charset val="1"/>
      </rPr>
      <t xml:space="preserve">7.86/10 </t>
    </r>
    <r>
      <rPr>
        <sz val="10"/>
        <rFont val="Noto Sans CJK SC"/>
        <family val="2"/>
      </rPr>
      <t xml:space="preserve">居所有活動首位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資料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旅マエ基本集計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。市場差異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亞洲對屋台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級美食、歐美對高級餐廳興趣較高。</t>
    </r>
  </si>
  <si>
    <t xml:space="preserve">興趣度實數、市場差異</t>
  </si>
  <si>
    <r>
      <rPr>
        <sz val="10"/>
        <rFont val="Noto Sans CJK SC"/>
        <family val="2"/>
      </rPr>
      <t xml:space="preserve">旅マエ海外市場調查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基本集計</t>
    </r>
    <r>
      <rPr>
        <sz val="10"/>
        <rFont val="Arial"/>
        <family val="0"/>
        <charset val="1"/>
      </rPr>
      <t xml:space="preserve">)</t>
    </r>
  </si>
  <si>
    <t xml:space="preserve">實數</t>
  </si>
  <si>
    <t xml:space="preserve">餐飲業客群鎖定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</si>
  <si>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</si>
  <si>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Q12</t>
  </si>
  <si>
    <r>
      <rPr>
        <sz val="10"/>
        <rFont val="Noto Sans CJK SC"/>
        <family val="2"/>
      </rPr>
      <t xml:space="preserve">哪國旅客對購物最積極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</si>
  <si>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ショッピング目的の国は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</si>
  <si>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誰來大阪是為了買東西</t>
    </r>
    <r>
      <rPr>
        <sz val="10"/>
        <rFont val="Arial"/>
        <family val="0"/>
        <charset val="1"/>
      </rPr>
      <t xml:space="preserve">?</t>
    </r>
  </si>
  <si>
    <t xml:space="preserve">Most shopping-driven markets?</t>
  </si>
  <si>
    <r>
      <rPr>
        <sz val="10"/>
        <rFont val="Noto Sans CJK SC"/>
        <family val="2"/>
      </rPr>
      <t xml:space="preserve">中國、韓國市場購物消費比重高。品類差異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中國重藥妝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精品、韓國重時尚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雜貨、東南亞重伴手禮。</t>
    </r>
  </si>
  <si>
    <t xml:space="preserve">市場排序、品類差異</t>
  </si>
  <si>
    <t xml:space="preserve">消費調查</t>
  </si>
  <si>
    <t xml:space="preserve">零售業客群鎖定</t>
  </si>
  <si>
    <r>
      <rPr>
        <sz val="10"/>
        <rFont val="Noto Sans CJK SC"/>
        <family val="2"/>
      </rPr>
      <t xml:space="preserve">市場排序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品類差異</t>
    </r>
  </si>
  <si>
    <t xml:space="preserve">Q13</t>
  </si>
  <si>
    <r>
      <rPr>
        <sz val="10"/>
        <rFont val="Noto Sans CJK SC"/>
        <family val="2"/>
      </rPr>
      <t xml:space="preserve">哪國旅客對夜間經濟興趣高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</si>
  <si>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ナイトライフ需要の国は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</si>
  <si>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夜店、夜景需求最強的市場</t>
    </r>
    <r>
      <rPr>
        <sz val="10"/>
        <rFont val="Arial"/>
        <family val="0"/>
        <charset val="1"/>
      </rPr>
      <t xml:space="preserve">?</t>
    </r>
  </si>
  <si>
    <t xml:space="preserve">Nightlife-oriented markets?</t>
  </si>
  <si>
    <r>
      <rPr>
        <sz val="10"/>
        <rFont val="Noto Sans CJK SC"/>
        <family val="2"/>
      </rPr>
      <t xml:space="preserve">夜景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照明興趣度 </t>
    </r>
    <r>
      <rPr>
        <sz val="10"/>
        <rFont val="Arial"/>
        <family val="0"/>
        <charset val="1"/>
      </rPr>
      <t xml:space="preserve">7.05/10(</t>
    </r>
    <r>
      <rPr>
        <sz val="10"/>
        <rFont val="Noto Sans CJK SC"/>
        <family val="2"/>
      </rPr>
      <t xml:space="preserve">資料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。歐美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東南亞市場夜間活動需求較高。</t>
    </r>
  </si>
  <si>
    <t xml:space="preserve">夜間活動實數、市場差異</t>
  </si>
  <si>
    <r>
      <rPr>
        <sz val="10"/>
        <rFont val="Noto Sans CJK SC"/>
        <family val="2"/>
      </rPr>
      <t xml:space="preserve">酒吧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夜景甜點業態</t>
    </r>
  </si>
  <si>
    <r>
      <rPr>
        <sz val="10"/>
        <rFont val="Noto Sans CJK SC"/>
        <family val="2"/>
      </rPr>
      <t xml:space="preserve">活動分數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市場差異</t>
    </r>
  </si>
  <si>
    <t xml:space="preserve">Q14</t>
  </si>
  <si>
    <r>
      <rPr>
        <sz val="10"/>
        <rFont val="Noto Sans CJK SC"/>
        <family val="2"/>
      </rPr>
      <t xml:space="preserve">哪國旅客家庭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親子客比例高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</si>
  <si>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ファミリー層が多いのは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</si>
  <si>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家庭客主要來自哪國</t>
    </r>
    <r>
      <rPr>
        <sz val="10"/>
        <rFont val="Arial"/>
        <family val="0"/>
        <charset val="1"/>
      </rPr>
      <t xml:space="preserve">?</t>
    </r>
  </si>
  <si>
    <t xml:space="preserve">Family-tourist heavy markets?</t>
  </si>
  <si>
    <r>
      <rPr>
        <sz val="10"/>
        <rFont val="Noto Sans CJK SC"/>
        <family val="2"/>
      </rPr>
      <t xml:space="preserve">家族同行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歲以下</t>
    </r>
    <r>
      <rPr>
        <sz val="10"/>
        <rFont val="Arial"/>
        <family val="0"/>
        <charset val="1"/>
      </rPr>
      <t xml:space="preserve">)28.7%(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。東南亞、台灣家庭客比例高。</t>
    </r>
  </si>
  <si>
    <t xml:space="preserve">家族比例實數、市場差異</t>
  </si>
  <si>
    <t xml:space="preserve">旅マエ海外市場調查 — 同行者</t>
  </si>
  <si>
    <t xml:space="preserve">親子業態客群</t>
  </si>
  <si>
    <r>
      <rPr>
        <sz val="10"/>
        <rFont val="Noto Sans CJK SC"/>
        <family val="2"/>
      </rPr>
      <t xml:space="preserve">比例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親子業態建議</t>
    </r>
  </si>
  <si>
    <t xml:space="preserve">Q15</t>
  </si>
  <si>
    <r>
      <rPr>
        <sz val="10"/>
        <rFont val="Noto Sans CJK SC"/>
        <family val="2"/>
      </rPr>
      <t xml:space="preserve">哪國旅客是 </t>
    </r>
    <r>
      <rPr>
        <sz val="10"/>
        <rFont val="Arial"/>
        <family val="0"/>
        <charset val="1"/>
      </rPr>
      <t xml:space="preserve">Z </t>
    </r>
    <r>
      <rPr>
        <sz val="10"/>
        <rFont val="Noto Sans CJK SC"/>
        <family val="2"/>
      </rPr>
      <t xml:space="preserve">世代主力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</si>
  <si>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若年層インバウンドはどこの国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</si>
  <si>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年輕客群來自哪國</t>
    </r>
    <r>
      <rPr>
        <sz val="10"/>
        <rFont val="Arial"/>
        <family val="0"/>
        <charset val="1"/>
      </rPr>
      <t xml:space="preserve">?</t>
    </r>
  </si>
  <si>
    <t xml:space="preserve">Z-gen/young tourist markets?</t>
  </si>
  <si>
    <r>
      <rPr>
        <sz val="10"/>
        <rFont val="Arial"/>
        <family val="0"/>
        <charset val="1"/>
      </rPr>
      <t xml:space="preserve">20-29 </t>
    </r>
    <r>
      <rPr>
        <sz val="10"/>
        <rFont val="Noto Sans CJK SC"/>
        <family val="2"/>
      </rPr>
      <t xml:space="preserve">歲合計 </t>
    </r>
    <r>
      <rPr>
        <sz val="10"/>
        <rFont val="Arial"/>
        <family val="0"/>
        <charset val="1"/>
      </rPr>
      <t xml:space="preserve">11.7%(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。台灣、韓國、東南亞年輕客占比較高</t>
    </r>
    <r>
      <rPr>
        <sz val="10"/>
        <rFont val="Arial"/>
        <family val="0"/>
        <charset val="1"/>
      </rPr>
      <t xml:space="preserve">,SNS </t>
    </r>
    <r>
      <rPr>
        <sz val="10"/>
        <rFont val="Noto Sans CJK SC"/>
        <family val="2"/>
      </rPr>
      <t xml:space="preserve">依賴度極高。</t>
    </r>
  </si>
  <si>
    <t xml:space="preserve">年齡結構、市場差異</t>
  </si>
  <si>
    <t xml:space="preserve">旅マエ海外市場調查 — 年齡</t>
  </si>
  <si>
    <t xml:space="preserve">年輕客業態行銷</t>
  </si>
  <si>
    <r>
      <rPr>
        <sz val="10"/>
        <rFont val="Noto Sans CJK SC"/>
        <family val="2"/>
      </rPr>
      <t xml:space="preserve">年齡結構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+SNS </t>
    </r>
    <r>
      <rPr>
        <sz val="10"/>
        <rFont val="Noto Sans CJK SC"/>
        <family val="2"/>
      </rPr>
      <t xml:space="preserve">行為</t>
    </r>
  </si>
  <si>
    <t xml:space="preserve">Q16</t>
  </si>
  <si>
    <r>
      <rPr>
        <sz val="10"/>
        <rFont val="Noto Sans CJK SC"/>
        <family val="2"/>
      </rPr>
      <t xml:space="preserve">哪國旅客 </t>
    </r>
    <r>
      <rPr>
        <sz val="10"/>
        <rFont val="Arial"/>
        <family val="0"/>
        <charset val="1"/>
      </rPr>
      <t xml:space="preserve">LGBTQ+ </t>
    </r>
    <r>
      <rPr>
        <sz val="10"/>
        <rFont val="Noto Sans CJK SC"/>
        <family val="2"/>
      </rPr>
      <t xml:space="preserve">友善需求顯著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</si>
  <si>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LGBTQ+ </t>
    </r>
    <r>
      <rPr>
        <sz val="10"/>
        <rFont val="Noto Sans CJK SC"/>
        <family val="2"/>
      </rPr>
      <t xml:space="preserve">フレンドリーマーケットは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</si>
  <si>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LGBTQ+ </t>
    </r>
    <r>
      <rPr>
        <sz val="10"/>
        <rFont val="Noto Sans CJK SC"/>
        <family val="2"/>
      </rPr>
      <t xml:space="preserve">客群來自哪些市場</t>
    </r>
    <r>
      <rPr>
        <sz val="10"/>
        <rFont val="Arial"/>
        <family val="0"/>
        <charset val="1"/>
      </rPr>
      <t xml:space="preserve">?</t>
    </r>
  </si>
  <si>
    <t xml:space="preserve">LGBTQ+ friendly market needs?</t>
  </si>
  <si>
    <r>
      <rPr>
        <sz val="10"/>
        <rFont val="Noto Sans CJK SC"/>
        <family val="2"/>
      </rPr>
      <t xml:space="preserve">歐美主要市場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英、美、加、澳、荷</t>
    </r>
    <r>
      <rPr>
        <sz val="10"/>
        <rFont val="Arial"/>
        <family val="0"/>
        <charset val="1"/>
      </rPr>
      <t xml:space="preserve">)LGBTQ+ </t>
    </r>
    <r>
      <rPr>
        <sz val="10"/>
        <rFont val="Noto Sans CJK SC"/>
        <family val="2"/>
      </rPr>
      <t xml:space="preserve">旅客比例高。大阪觀光局已有 </t>
    </r>
    <r>
      <rPr>
        <sz val="10"/>
        <rFont val="Arial"/>
        <family val="0"/>
        <charset val="1"/>
      </rPr>
      <t xml:space="preserve">LGBTQ+ </t>
    </r>
    <r>
      <rPr>
        <sz val="10"/>
        <rFont val="Noto Sans CJK SC"/>
        <family val="2"/>
      </rPr>
      <t xml:space="preserve">旅客專項調查</t>
    </r>
    <r>
      <rPr>
        <sz val="10"/>
        <rFont val="Arial"/>
        <family val="0"/>
        <charset val="1"/>
      </rPr>
      <t xml:space="preserve">(2024)</t>
    </r>
    <r>
      <rPr>
        <sz val="10"/>
        <rFont val="Noto Sans CJK SC"/>
        <family val="2"/>
      </rPr>
      <t xml:space="preserve">。</t>
    </r>
  </si>
  <si>
    <t xml:space="preserve">市場別比例、專項調查引用</t>
  </si>
  <si>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LGBTQ+ </t>
    </r>
    <r>
      <rPr>
        <sz val="10"/>
        <rFont val="Noto Sans CJK SC"/>
        <family val="2"/>
      </rPr>
      <t xml:space="preserve">旅遊者動向調查 </t>
    </r>
    <r>
      <rPr>
        <sz val="10"/>
        <rFont val="Arial"/>
        <family val="0"/>
        <charset val="1"/>
      </rPr>
      <t xml:space="preserve">2024</t>
    </r>
  </si>
  <si>
    <t xml:space="preserve">包容性業態設計</t>
  </si>
  <si>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專項調查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友善設計</t>
    </r>
  </si>
  <si>
    <t xml:space="preserve">Q17</t>
  </si>
  <si>
    <r>
      <rPr>
        <sz val="10"/>
        <rFont val="Noto Sans CJK SC"/>
        <family val="2"/>
      </rPr>
      <t xml:space="preserve">哪國旅客素食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清真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過敏需求高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</si>
  <si>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ハラル・ヴィーガン対応必要な国は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</si>
  <si>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需要素食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清真對應的市場</t>
    </r>
    <r>
      <rPr>
        <sz val="10"/>
        <rFont val="Arial"/>
        <family val="0"/>
        <charset val="1"/>
      </rPr>
      <t xml:space="preserve">?</t>
    </r>
  </si>
  <si>
    <t xml:space="preserve">Halal/vegan demand markets?</t>
  </si>
  <si>
    <r>
      <rPr>
        <sz val="10"/>
        <rFont val="Noto Sans CJK SC"/>
        <family val="2"/>
      </rPr>
      <t xml:space="preserve">印尼、馬來西亞、印度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穆斯林市場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為清真主要需求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歐美素食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純素需求穩定。</t>
    </r>
  </si>
  <si>
    <t xml:space="preserve">市場區隔、需求類型</t>
  </si>
  <si>
    <t xml:space="preserve">餐飲業特殊餐區隔</t>
  </si>
  <si>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需求類型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</si>
  <si>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Q18</t>
  </si>
  <si>
    <r>
      <rPr>
        <sz val="10"/>
        <rFont val="Noto Sans CJK SC"/>
        <family val="2"/>
      </rPr>
      <t xml:space="preserve">哪國旅客動漫</t>
    </r>
    <r>
      <rPr>
        <sz val="10"/>
        <rFont val="Arial"/>
        <family val="0"/>
        <charset val="1"/>
      </rPr>
      <t xml:space="preserve">/IP </t>
    </r>
    <r>
      <rPr>
        <sz val="10"/>
        <rFont val="Noto Sans CJK SC"/>
        <family val="2"/>
      </rPr>
      <t xml:space="preserve">文化興趣最高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</si>
  <si>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アニメ・ポップカルチャー目的は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</si>
  <si>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動漫迷主要來自哪國</t>
    </r>
    <r>
      <rPr>
        <sz val="10"/>
        <rFont val="Arial"/>
        <family val="0"/>
        <charset val="1"/>
      </rPr>
      <t xml:space="preserve">?</t>
    </r>
  </si>
  <si>
    <t xml:space="preserve">Anime/pop culture market?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</si>
  <si>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商品店巡禮、主題咖啡興趣度約 </t>
    </r>
    <r>
      <rPr>
        <sz val="10"/>
        <rFont val="Arial"/>
        <family val="0"/>
        <charset val="1"/>
      </rPr>
      <t xml:space="preserve">6.4-6.8</t>
    </r>
    <r>
      <rPr>
        <sz val="10"/>
        <rFont val="Noto Sans CJK SC"/>
        <family val="2"/>
      </rPr>
      <t xml:space="preserve">。東南亞、台、韓、歐美年輕客興趣顯著。</t>
    </r>
  </si>
  <si>
    <t xml:space="preserve">興趣度、市場分布</t>
  </si>
  <si>
    <t xml:space="preserve">旅マエ海外市場調查 — 活動興趣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</si>
  <si>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業態客群</t>
    </r>
  </si>
  <si>
    <r>
      <rPr>
        <sz val="10"/>
        <rFont val="Noto Sans CJK SC"/>
        <family val="2"/>
      </rPr>
      <t xml:space="preserve">興趣度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</si>
  <si>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Q19</t>
  </si>
  <si>
    <r>
      <rPr>
        <sz val="10"/>
        <rFont val="Noto Sans CJK SC"/>
        <family val="2"/>
      </rPr>
      <t xml:space="preserve">哪國旅客美容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醫美消費比重高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</si>
  <si>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美容医療目的の市場は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</si>
  <si>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醫美客主要來自哪國</t>
    </r>
    <r>
      <rPr>
        <sz val="10"/>
        <rFont val="Arial"/>
        <family val="0"/>
        <charset val="1"/>
      </rPr>
      <t xml:space="preserve">?</t>
    </r>
  </si>
  <si>
    <t xml:space="preserve">Medical beauty tourism market?</t>
  </si>
  <si>
    <r>
      <rPr>
        <sz val="10"/>
        <rFont val="Noto Sans CJK SC"/>
        <family val="2"/>
      </rPr>
      <t xml:space="preserve">中國、台灣、韓國市場美容醫美消費活躍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常為「附帶觀光行程」。</t>
    </r>
  </si>
  <si>
    <t xml:space="preserve">市場排序、消費規模</t>
  </si>
  <si>
    <t xml:space="preserve">訪日旅客消費調查 — 品類</t>
  </si>
  <si>
    <r>
      <rPr>
        <sz val="10"/>
        <rFont val="Noto Sans CJK SC"/>
        <family val="2"/>
      </rPr>
      <t xml:space="preserve">醫美延伸業態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術後甜點</t>
    </r>
    <r>
      <rPr>
        <sz val="10"/>
        <rFont val="Arial"/>
        <family val="0"/>
        <charset val="1"/>
      </rPr>
      <t xml:space="preserve">/SPA)</t>
    </r>
  </si>
  <si>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消費規模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</t>
    </r>
  </si>
  <si>
    <t xml:space="preserve">Q20</t>
  </si>
  <si>
    <r>
      <rPr>
        <sz val="10"/>
        <rFont val="Noto Sans CJK SC"/>
        <family val="2"/>
      </rPr>
      <t xml:space="preserve">重遊客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初訪客行動差異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</si>
  <si>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リピーターと初訪の行動差は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</si>
  <si>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回頭客跟新客行為差在哪</t>
    </r>
    <r>
      <rPr>
        <sz val="10"/>
        <rFont val="Arial"/>
        <family val="0"/>
        <charset val="1"/>
      </rPr>
      <t xml:space="preserve">?</t>
    </r>
  </si>
  <si>
    <t xml:space="preserve">Repeat vs first-time tourist behavior?</t>
  </si>
  <si>
    <r>
      <rPr>
        <sz val="10"/>
        <rFont val="Noto Sans CJK SC"/>
        <family val="2"/>
      </rPr>
      <t xml:space="preserve">初訪集中知名景點</t>
    </r>
    <r>
      <rPr>
        <sz val="10"/>
        <rFont val="Arial"/>
        <family val="0"/>
        <charset val="1"/>
      </rPr>
      <t xml:space="preserve">(USJ</t>
    </r>
    <r>
      <rPr>
        <sz val="10"/>
        <rFont val="Noto Sans CJK SC"/>
        <family val="2"/>
      </rPr>
      <t xml:space="preserve">、城、道頓堀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重訪深度體驗、周邊市町、隱藏景點。</t>
    </r>
  </si>
  <si>
    <t xml:space="preserve">差異描述、業態意涵</t>
  </si>
  <si>
    <r>
      <rPr>
        <sz val="10"/>
        <rFont val="Noto Sans CJK SC"/>
        <family val="2"/>
      </rPr>
      <t xml:space="preserve">出口調查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旅マエ</t>
    </r>
  </si>
  <si>
    <r>
      <rPr>
        <sz val="10"/>
        <rFont val="Noto Sans CJK SC"/>
        <family val="2"/>
      </rPr>
      <t xml:space="preserve">深度業態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重訪客藍海</t>
    </r>
  </si>
  <si>
    <r>
      <rPr>
        <sz val="10"/>
        <rFont val="Noto Sans CJK SC"/>
        <family val="2"/>
      </rPr>
      <t xml:space="preserve">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業者藍海解讀</t>
    </r>
  </si>
  <si>
    <t xml:space="preserve">core</t>
  </si>
  <si>
    <t xml:space="preserve">Q21</t>
  </si>
  <si>
    <t xml:space="preserve">選址判斷</t>
  </si>
  <si>
    <r>
      <rPr>
        <sz val="10"/>
        <rFont val="Noto Sans CJK SC"/>
        <family val="2"/>
      </rPr>
      <t xml:space="preserve">心齋橋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道頓堀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難波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旅客到訪率</t>
    </r>
    <r>
      <rPr>
        <sz val="10"/>
        <rFont val="Arial"/>
        <family val="0"/>
        <charset val="1"/>
      </rPr>
      <t xml:space="preserve">?</t>
    </r>
  </si>
  <si>
    <t xml:space="preserve">心斎橋・道頓堀・難波の比較</t>
  </si>
  <si>
    <r>
      <rPr>
        <sz val="10"/>
        <rFont val="Noto Sans CJK SC"/>
        <family val="2"/>
      </rPr>
      <t xml:space="preserve">三區人潮哪邊多</t>
    </r>
    <r>
      <rPr>
        <sz val="10"/>
        <rFont val="Arial"/>
        <family val="0"/>
        <charset val="1"/>
      </rPr>
      <t xml:space="preserve">?</t>
    </r>
  </si>
  <si>
    <t xml:space="preserve">Shinsaibashi vs Dotonbori vs Namba foot traffic?</t>
  </si>
  <si>
    <r>
      <rPr>
        <sz val="10"/>
        <rFont val="Noto Sans CJK SC"/>
        <family val="2"/>
      </rPr>
      <t xml:space="preserve">道頓堀 </t>
    </r>
    <r>
      <rPr>
        <sz val="10"/>
        <rFont val="Arial"/>
        <family val="0"/>
        <charset val="1"/>
      </rPr>
      <t xml:space="preserve">68% &gt; </t>
    </r>
    <r>
      <rPr>
        <sz val="10"/>
        <rFont val="Noto Sans CJK SC"/>
        <family val="2"/>
      </rPr>
      <t xml:space="preserve">心齋橋 </t>
    </r>
    <r>
      <rPr>
        <sz val="10"/>
        <rFont val="Arial"/>
        <family val="0"/>
        <charset val="1"/>
      </rPr>
      <t xml:space="preserve">61% &gt; </t>
    </r>
    <r>
      <rPr>
        <sz val="10"/>
        <rFont val="Noto Sans CJK SC"/>
        <family val="2"/>
      </rPr>
      <t xml:space="preserve">難波 </t>
    </r>
    <r>
      <rPr>
        <sz val="10"/>
        <rFont val="Arial"/>
        <family val="0"/>
        <charset val="1"/>
      </rPr>
      <t xml:space="preserve">49%(</t>
    </r>
    <r>
      <rPr>
        <sz val="10"/>
        <rFont val="Noto Sans CJK SC"/>
        <family val="2"/>
      </rPr>
      <t xml:space="preserve">模擬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。行為截然不同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道頓堀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打卡型、心齋橋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逛街型、難波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過路型。</t>
    </r>
  </si>
  <si>
    <t xml:space="preserve">三區數字、行為差異</t>
  </si>
  <si>
    <r>
      <rPr>
        <sz val="10"/>
        <rFont val="Noto Sans CJK SC"/>
        <family val="2"/>
      </rPr>
      <t xml:space="preserve">觀光地點參數調查 </t>
    </r>
    <r>
      <rPr>
        <sz val="10"/>
        <rFont val="Arial"/>
        <family val="0"/>
        <charset val="1"/>
      </rPr>
      <t xml:space="preserve">2024</t>
    </r>
  </si>
  <si>
    <t xml:space="preserve">選址初篩</t>
  </si>
  <si>
    <r>
      <rPr>
        <sz val="10"/>
        <rFont val="Noto Sans CJK SC"/>
        <family val="2"/>
      </rPr>
      <t xml:space="preserve">三區數字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行為差異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選址提醒</t>
    </r>
  </si>
  <si>
    <t xml:space="preserve">Q22</t>
  </si>
  <si>
    <r>
      <rPr>
        <sz val="10"/>
        <rFont val="Noto Sans CJK SC"/>
        <family val="2"/>
      </rPr>
      <t xml:space="preserve">梅田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心齋橋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業者該選哪邊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</si>
  <si>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梅田と心斎橋、出店するなら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</si>
  <si>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兩區選一個開店</t>
    </r>
    <r>
      <rPr>
        <sz val="10"/>
        <rFont val="Arial"/>
        <family val="0"/>
        <charset val="1"/>
      </rPr>
      <t xml:space="preserve">?</t>
    </r>
  </si>
  <si>
    <t xml:space="preserve">Umeda vs Shinsaibashi for new shop?</t>
  </si>
  <si>
    <r>
      <rPr>
        <sz val="10"/>
        <rFont val="Noto Sans CJK SC"/>
        <family val="2"/>
      </rPr>
      <t xml:space="preserve">梅田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商務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國內客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通勤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心齋橋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觀光客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衝動消費。依業態而定。</t>
    </r>
  </si>
  <si>
    <t xml:space="preserve">差異對比、依業態建議</t>
  </si>
  <si>
    <t xml:space="preserve">觀光地點參數調查</t>
  </si>
  <si>
    <t xml:space="preserve">兩大商圈業者抉擇</t>
  </si>
  <si>
    <r>
      <rPr>
        <sz val="10"/>
        <rFont val="Noto Sans CJK SC"/>
        <family val="2"/>
      </rPr>
      <t xml:space="preserve">差異對比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業態依存</t>
    </r>
  </si>
  <si>
    <t xml:space="preserve">Q23</t>
  </si>
  <si>
    <r>
      <rPr>
        <sz val="10"/>
        <rFont val="Arial"/>
        <family val="0"/>
        <charset val="1"/>
      </rPr>
      <t xml:space="preserve">USJ </t>
    </r>
    <r>
      <rPr>
        <sz val="10"/>
        <rFont val="Noto Sans CJK SC"/>
        <family val="2"/>
      </rPr>
      <t xml:space="preserve">周邊外國旅客特徵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</si>
  <si>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USJ </t>
    </r>
    <r>
      <rPr>
        <sz val="10"/>
        <rFont val="Noto Sans CJK SC"/>
        <family val="2"/>
      </rPr>
      <t xml:space="preserve">周辺の客層は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</si>
  <si>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環球影城旁的客群長什麼樣</t>
    </r>
    <r>
      <rPr>
        <sz val="10"/>
        <rFont val="Arial"/>
        <family val="0"/>
        <charset val="1"/>
      </rPr>
      <t xml:space="preserve">?</t>
    </r>
  </si>
  <si>
    <t xml:space="preserve">USJ area tourist profile?</t>
  </si>
  <si>
    <t xml:space="preserve">家族親子比例高、停留短、客單高、餐飲與紀念品需求集中。</t>
  </si>
  <si>
    <t xml:space="preserve">客層描述、業態適配</t>
  </si>
  <si>
    <r>
      <rPr>
        <sz val="10"/>
        <rFont val="Noto Sans CJK SC"/>
        <family val="2"/>
      </rPr>
      <t xml:space="preserve">觀光地點參數調查 — </t>
    </r>
    <r>
      <rPr>
        <sz val="10"/>
        <rFont val="Arial"/>
        <family val="0"/>
        <charset val="1"/>
      </rPr>
      <t xml:space="preserve">USJ </t>
    </r>
    <r>
      <rPr>
        <sz val="10"/>
        <rFont val="Noto Sans CJK SC"/>
        <family val="2"/>
      </rPr>
      <t xml:space="preserve">區</t>
    </r>
  </si>
  <si>
    <r>
      <rPr>
        <sz val="10"/>
        <rFont val="Arial"/>
        <family val="0"/>
        <charset val="1"/>
      </rPr>
      <t xml:space="preserve">USJ </t>
    </r>
    <r>
      <rPr>
        <sz val="10"/>
        <rFont val="Noto Sans CJK SC"/>
        <family val="2"/>
      </rPr>
      <t xml:space="preserve">周邊選址判斷</t>
    </r>
  </si>
  <si>
    <r>
      <rPr>
        <sz val="10"/>
        <rFont val="Noto Sans CJK SC"/>
        <family val="2"/>
      </rPr>
      <t xml:space="preserve">客層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業態適配建議</t>
    </r>
  </si>
  <si>
    <t xml:space="preserve">Q24</t>
  </si>
  <si>
    <r>
      <rPr>
        <sz val="10"/>
        <rFont val="Noto Sans CJK SC"/>
        <family val="2"/>
      </rPr>
      <t xml:space="preserve">大阪城公園周邊外國旅客比例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</si>
  <si>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大阪城エリアのインバウンド比率は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</si>
  <si>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大阪城旁外國人多嗎</t>
    </r>
    <r>
      <rPr>
        <sz val="10"/>
        <rFont val="Arial"/>
        <family val="0"/>
        <charset val="1"/>
      </rPr>
      <t xml:space="preserve">?</t>
    </r>
  </si>
  <si>
    <t xml:space="preserve">Osaka Castle area inbound ratio?</t>
  </si>
  <si>
    <r>
      <rPr>
        <sz val="10"/>
        <rFont val="Noto Sans CJK SC"/>
        <family val="2"/>
      </rPr>
      <t xml:space="preserve">外國旅客比例高、停留 </t>
    </r>
    <r>
      <rPr>
        <sz val="10"/>
        <rFont val="Arial"/>
        <family val="0"/>
        <charset val="1"/>
      </rPr>
      <t xml:space="preserve">1.5-2 </t>
    </r>
    <r>
      <rPr>
        <sz val="10"/>
        <rFont val="Noto Sans CJK SC"/>
        <family val="2"/>
      </rPr>
      <t xml:space="preserve">小時、消費較低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適合輕食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紀念品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體驗。</t>
    </r>
  </si>
  <si>
    <t xml:space="preserve">比例、停留、消費水準</t>
  </si>
  <si>
    <t xml:space="preserve">觀光地點參數調查 — 大阪城區</t>
  </si>
  <si>
    <t xml:space="preserve">短停留型業態</t>
  </si>
  <si>
    <r>
      <rPr>
        <sz val="10"/>
        <rFont val="Noto Sans CJK SC"/>
        <family val="2"/>
      </rPr>
      <t xml:space="preserve">比例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時長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</si>
  <si>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Q25</t>
  </si>
  <si>
    <r>
      <rPr>
        <sz val="10"/>
        <rFont val="Noto Sans CJK SC"/>
        <family val="2"/>
      </rPr>
      <t xml:space="preserve">黑門市場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鶴橋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各自客層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</si>
  <si>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黒門市場と鶴橋の違い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</si>
  <si>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兩個市場客群差在哪</t>
    </r>
    <r>
      <rPr>
        <sz val="10"/>
        <rFont val="Arial"/>
        <family val="0"/>
        <charset val="1"/>
      </rPr>
      <t xml:space="preserve">?</t>
    </r>
  </si>
  <si>
    <t xml:space="preserve">Kuromon vs Tsuruhashi market profile?</t>
  </si>
  <si>
    <r>
      <rPr>
        <sz val="10"/>
        <rFont val="Noto Sans CJK SC"/>
        <family val="2"/>
      </rPr>
      <t xml:space="preserve">黑門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外國觀光客為主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美食朝聖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鶴橋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韓國族裔聚集地、國內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在地客多。</t>
    </r>
  </si>
  <si>
    <t xml:space="preserve">客層差異</t>
  </si>
  <si>
    <t xml:space="preserve">市場型業態選址</t>
  </si>
  <si>
    <r>
      <rPr>
        <sz val="10"/>
        <rFont val="Noto Sans CJK SC"/>
        <family val="2"/>
      </rPr>
      <t xml:space="preserve">客層差異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觀光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在地區別</t>
    </r>
  </si>
  <si>
    <t xml:space="preserve">Q26</t>
  </si>
  <si>
    <r>
      <rPr>
        <sz val="10"/>
        <rFont val="Noto Sans CJK SC"/>
        <family val="2"/>
      </rPr>
      <t xml:space="preserve">大阪府哪些「新興地點」成長最快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</si>
  <si>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最近伸びてるエリアは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</si>
  <si>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藍海區在哪</t>
    </r>
    <r>
      <rPr>
        <sz val="10"/>
        <rFont val="Arial"/>
        <family val="0"/>
        <charset val="1"/>
      </rPr>
      <t xml:space="preserve">?</t>
    </r>
  </si>
  <si>
    <t xml:space="preserve">Emerging tourist areas?</t>
  </si>
  <si>
    <r>
      <rPr>
        <sz val="10"/>
        <rFont val="Noto Sans CJK SC"/>
        <family val="2"/>
      </rPr>
      <t xml:space="preserve">近三年成長率前 </t>
    </r>
    <r>
      <rPr>
        <sz val="10"/>
        <rFont val="Arial"/>
        <family val="0"/>
        <charset val="1"/>
      </rPr>
      <t xml:space="preserve">3-5 </t>
    </r>
    <r>
      <rPr>
        <sz val="10"/>
        <rFont val="Noto Sans CJK SC"/>
        <family val="2"/>
      </rPr>
      <t xml:space="preserve">地點可能含北浜、中之島、福島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新進業者藍海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</si>
  <si>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成長率排行、藍海邏輯</t>
  </si>
  <si>
    <r>
      <rPr>
        <sz val="10"/>
        <rFont val="Noto Sans CJK SC"/>
        <family val="2"/>
      </rPr>
      <t xml:space="preserve">觀光地點參數調查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時序</t>
    </r>
    <r>
      <rPr>
        <sz val="10"/>
        <rFont val="Arial"/>
        <family val="0"/>
        <charset val="1"/>
      </rPr>
      <t xml:space="preserve">)</t>
    </r>
  </si>
  <si>
    <t xml:space="preserve">新進業者搶占藍海</t>
  </si>
  <si>
    <r>
      <rPr>
        <sz val="10"/>
        <rFont val="Noto Sans CJK SC"/>
        <family val="2"/>
      </rPr>
      <t xml:space="preserve">成長率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為什麼成長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藍海建議</t>
    </r>
  </si>
  <si>
    <t xml:space="preserve">Q27</t>
  </si>
  <si>
    <r>
      <rPr>
        <sz val="10"/>
        <rFont val="Noto Sans CJK SC"/>
        <family val="2"/>
      </rPr>
      <t xml:space="preserve">「過於擁擠」抱怨最多的區域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</si>
  <si>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混雑が問題なエリアは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</si>
  <si>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哪邊最擠</t>
    </r>
    <r>
      <rPr>
        <sz val="10"/>
        <rFont val="Arial"/>
        <family val="0"/>
        <charset val="1"/>
      </rPr>
      <t xml:space="preserve">?</t>
    </r>
  </si>
  <si>
    <t xml:space="preserve">Most crowded areas (complaints)?</t>
  </si>
  <si>
    <r>
      <rPr>
        <sz val="10"/>
        <rFont val="Noto Sans CJK SC"/>
        <family val="2"/>
      </rPr>
      <t xml:space="preserve">道頓堀、心齋橋為擁擠抱怨高峰。業者意涵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稍離主動線一街區可服務「想避人潮」客群。</t>
    </r>
  </si>
  <si>
    <t xml:space="preserve">抱怨排行、翻轉建議</t>
  </si>
  <si>
    <t xml:space="preserve">觀光地點參數調查 — 課題</t>
  </si>
  <si>
    <t xml:space="preserve">從擁擠抱怨找選址機會</t>
  </si>
  <si>
    <r>
      <rPr>
        <sz val="10"/>
        <rFont val="Noto Sans CJK SC"/>
        <family val="2"/>
      </rPr>
      <t xml:space="preserve">抱怨排行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翻轉為機會</t>
    </r>
  </si>
  <si>
    <t xml:space="preserve">Q28</t>
  </si>
  <si>
    <r>
      <rPr>
        <sz val="10"/>
        <rFont val="Noto Sans CJK SC"/>
        <family val="2"/>
      </rPr>
      <t xml:space="preserve">哪些區域旅客「停留時間最長」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</si>
  <si>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滞在時間が長いエリアは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</si>
  <si>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客人會待最久的區</t>
    </r>
    <r>
      <rPr>
        <sz val="10"/>
        <rFont val="Arial"/>
        <family val="0"/>
        <charset val="1"/>
      </rPr>
      <t xml:space="preserve">?</t>
    </r>
  </si>
  <si>
    <t xml:space="preserve">Longest-stay areas?</t>
  </si>
  <si>
    <r>
      <rPr>
        <sz val="10"/>
        <rFont val="Noto Sans CJK SC"/>
        <family val="2"/>
      </rPr>
      <t xml:space="preserve">可能含天王寺、阿倍野、新世界。長停留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體驗業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餐飲業利好。</t>
    </r>
  </si>
  <si>
    <t xml:space="preserve">停留排行、業態適配</t>
  </si>
  <si>
    <t xml:space="preserve">觀光地點參數調查 — 停留</t>
  </si>
  <si>
    <t xml:space="preserve">深度業態選址</t>
  </si>
  <si>
    <r>
      <rPr>
        <sz val="10"/>
        <rFont val="Noto Sans CJK SC"/>
        <family val="2"/>
      </rPr>
      <t xml:space="preserve">停留排行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</si>
  <si>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Q29</t>
  </si>
  <si>
    <r>
      <rPr>
        <sz val="10"/>
        <rFont val="Noto Sans CJK SC"/>
        <family val="2"/>
      </rPr>
      <t xml:space="preserve">夜間經濟最活躍的區域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</si>
  <si>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ナイトエコノミーが強いエリアは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</si>
  <si>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夜晚最熱鬧的區</t>
    </r>
    <r>
      <rPr>
        <sz val="10"/>
        <rFont val="Arial"/>
        <family val="0"/>
        <charset val="1"/>
      </rPr>
      <t xml:space="preserve">?</t>
    </r>
  </si>
  <si>
    <t xml:space="preserve">Most active night-economy areas?</t>
  </si>
  <si>
    <t xml:space="preserve">道頓堀、北新地、新世界。旅客抱怨「夜間選擇少」即為機會點。</t>
  </si>
  <si>
    <t xml:space="preserve">夜間區域排行、機會解讀</t>
  </si>
  <si>
    <t xml:space="preserve">觀光地點參數調查 — 時段</t>
  </si>
  <si>
    <t xml:space="preserve">夜間業態選址</t>
  </si>
  <si>
    <r>
      <rPr>
        <sz val="10"/>
        <rFont val="Noto Sans CJK SC"/>
        <family val="2"/>
      </rPr>
      <t xml:space="preserve">區域排行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抱怨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機會解讀</t>
    </r>
  </si>
  <si>
    <t xml:space="preserve">Q30</t>
  </si>
  <si>
    <r>
      <rPr>
        <sz val="10"/>
        <rFont val="Noto Sans CJK SC"/>
        <family val="2"/>
      </rPr>
      <t xml:space="preserve">商務客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觀光客分佈差異最大區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</si>
  <si>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ビジネス客が集中するエリア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</si>
  <si>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商務客都在哪</t>
    </r>
    <r>
      <rPr>
        <sz val="10"/>
        <rFont val="Arial"/>
        <family val="0"/>
        <charset val="1"/>
      </rPr>
      <t xml:space="preserve">?</t>
    </r>
  </si>
  <si>
    <t xml:space="preserve">Business vs leisure tourist split?</t>
  </si>
  <si>
    <r>
      <rPr>
        <sz val="10"/>
        <rFont val="Noto Sans CJK SC"/>
        <family val="2"/>
      </rPr>
      <t xml:space="preserve">本町、梅田、新大阪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商務密集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難波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心齋橋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天王寺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觀光密集。</t>
    </r>
  </si>
  <si>
    <t xml:space="preserve">分區、業態意涵</t>
  </si>
  <si>
    <r>
      <rPr>
        <sz val="10"/>
        <rFont val="Noto Sans CJK SC"/>
        <family val="2"/>
      </rPr>
      <t xml:space="preserve">出口調查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國內統計</t>
    </r>
  </si>
  <si>
    <t xml:space="preserve">商務型業態選址</t>
  </si>
  <si>
    <r>
      <rPr>
        <sz val="10"/>
        <rFont val="Noto Sans CJK SC"/>
        <family val="2"/>
      </rPr>
      <t xml:space="preserve">商務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觀光分區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</si>
  <si>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Q31</t>
  </si>
  <si>
    <t xml:space="preserve">業態設計</t>
  </si>
  <si>
    <r>
      <rPr>
        <sz val="10"/>
        <rFont val="Noto Sans CJK SC"/>
        <family val="2"/>
      </rPr>
      <t xml:space="preserve">旅客選餐飲店時最重視什麼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</si>
  <si>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飲食店選びのポイントは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</si>
  <si>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選餐廳看什麼</t>
    </r>
    <r>
      <rPr>
        <sz val="10"/>
        <rFont val="Arial"/>
        <family val="0"/>
        <charset val="1"/>
      </rPr>
      <t xml:space="preserve">?</t>
    </r>
  </si>
  <si>
    <t xml:space="preserve">Key factors when choosing a restaurant?</t>
  </si>
  <si>
    <r>
      <rPr>
        <sz val="10"/>
        <rFont val="Noto Sans CJK SC"/>
        <family val="2"/>
      </rPr>
      <t xml:space="preserve">價格 </t>
    </r>
    <r>
      <rPr>
        <sz val="10"/>
        <rFont val="Arial"/>
        <family val="0"/>
        <charset val="1"/>
      </rPr>
      <t xml:space="preserve">4.13</t>
    </r>
    <r>
      <rPr>
        <sz val="10"/>
        <rFont val="Noto Sans CJK SC"/>
        <family val="2"/>
      </rPr>
      <t xml:space="preserve">、魅力 </t>
    </r>
    <r>
      <rPr>
        <sz val="10"/>
        <rFont val="Arial"/>
        <family val="0"/>
        <charset val="1"/>
      </rPr>
      <t xml:space="preserve">4.11</t>
    </r>
    <r>
      <rPr>
        <sz val="10"/>
        <rFont val="Noto Sans CJK SC"/>
        <family val="2"/>
      </rPr>
      <t xml:space="preserve">、信賴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評價 </t>
    </r>
    <r>
      <rPr>
        <sz val="10"/>
        <rFont val="Arial"/>
        <family val="0"/>
        <charset val="1"/>
      </rPr>
      <t xml:space="preserve">4.08</t>
    </r>
    <r>
      <rPr>
        <sz val="10"/>
        <rFont val="Noto Sans CJK SC"/>
        <family val="2"/>
      </rPr>
      <t xml:space="preserve">、地點 </t>
    </r>
    <r>
      <rPr>
        <sz val="10"/>
        <rFont val="Arial"/>
        <family val="0"/>
        <charset val="1"/>
      </rPr>
      <t xml:space="preserve">4.05</t>
    </r>
    <r>
      <rPr>
        <sz val="10"/>
        <rFont val="Noto Sans CJK SC"/>
        <family val="2"/>
      </rPr>
      <t xml:space="preserve">、行程整合 </t>
    </r>
    <r>
      <rPr>
        <sz val="10"/>
        <rFont val="Arial"/>
        <family val="0"/>
        <charset val="1"/>
      </rPr>
      <t xml:space="preserve">4.00</t>
    </r>
    <r>
      <rPr>
        <sz val="10"/>
        <rFont val="Noto Sans CJK SC"/>
        <family val="2"/>
      </rPr>
      <t xml:space="preserve">、語言對應 </t>
    </r>
    <r>
      <rPr>
        <sz val="10"/>
        <rFont val="Arial"/>
        <family val="0"/>
        <charset val="1"/>
      </rPr>
      <t xml:space="preserve">3.87(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。信賴度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語言對應為反直覺洞察。</t>
    </r>
  </si>
  <si>
    <t xml:space="preserve">重視點實數、反直覺洞察</t>
  </si>
  <si>
    <t xml:space="preserve">旅マエ海外市場調查 — 飲食店</t>
  </si>
  <si>
    <t xml:space="preserve">店面設計優先序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</si>
  <si>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排序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反直覺洞察</t>
    </r>
  </si>
  <si>
    <t xml:space="preserve">Q32</t>
  </si>
  <si>
    <r>
      <rPr>
        <sz val="10"/>
        <rFont val="Noto Sans CJK SC"/>
        <family val="2"/>
      </rPr>
      <t xml:space="preserve">旅客選活動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體驗時最重視什麼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</si>
  <si>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アクティビティ選びの重視点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</si>
  <si>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選體驗活動看什麼</t>
    </r>
    <r>
      <rPr>
        <sz val="10"/>
        <rFont val="Arial"/>
        <family val="0"/>
        <charset val="1"/>
      </rPr>
      <t xml:space="preserve">?</t>
    </r>
  </si>
  <si>
    <t xml:space="preserve">Key factors for activity selection?</t>
  </si>
  <si>
    <r>
      <rPr>
        <sz val="10"/>
        <rFont val="Noto Sans CJK SC"/>
        <family val="2"/>
      </rPr>
      <t xml:space="preserve">與餐飲類似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「在地獨特性 </t>
    </r>
    <r>
      <rPr>
        <sz val="10"/>
        <rFont val="Arial"/>
        <family val="0"/>
        <charset val="1"/>
      </rPr>
      <t xml:space="preserve">3.98</t>
    </r>
    <r>
      <rPr>
        <sz val="10"/>
        <rFont val="Noto Sans CJK SC"/>
        <family val="2"/>
      </rPr>
      <t xml:space="preserve">」「客製化彈性 </t>
    </r>
    <r>
      <rPr>
        <sz val="10"/>
        <rFont val="Arial"/>
        <family val="0"/>
        <charset val="1"/>
      </rPr>
      <t xml:space="preserve">3.74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</si>
  <si>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重視點實數</t>
  </si>
  <si>
    <t xml:space="preserve">旅マエ — 活動重視點</t>
  </si>
  <si>
    <t xml:space="preserve">體驗業設計優先序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</si>
  <si>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與餐飲對比</t>
    </r>
  </si>
  <si>
    <t xml:space="preserve">Q33</t>
  </si>
  <si>
    <r>
      <rPr>
        <sz val="10"/>
        <rFont val="Noto Sans CJK SC"/>
        <family val="2"/>
      </rPr>
      <t xml:space="preserve">哪些體驗活動興趣度最高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</si>
  <si>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人気の体験アクティビティは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</si>
  <si>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什麼活動最受歡迎</t>
    </r>
    <r>
      <rPr>
        <sz val="10"/>
        <rFont val="Arial"/>
        <family val="0"/>
        <charset val="1"/>
      </rPr>
      <t xml:space="preserve">?</t>
    </r>
  </si>
  <si>
    <t xml:space="preserve">Top-interest activities?</t>
  </si>
  <si>
    <r>
      <rPr>
        <sz val="10"/>
        <rFont val="Noto Sans CJK SC"/>
        <family val="2"/>
      </rPr>
      <t xml:space="preserve">在地飲食 </t>
    </r>
    <r>
      <rPr>
        <sz val="10"/>
        <rFont val="Arial"/>
        <family val="0"/>
        <charset val="1"/>
      </rPr>
      <t xml:space="preserve">7.86 &gt; </t>
    </r>
    <r>
      <rPr>
        <sz val="10"/>
        <rFont val="Noto Sans CJK SC"/>
        <family val="2"/>
      </rPr>
      <t xml:space="preserve">知名景點 </t>
    </r>
    <r>
      <rPr>
        <sz val="10"/>
        <rFont val="Arial"/>
        <family val="0"/>
        <charset val="1"/>
      </rPr>
      <t xml:space="preserve">7.80 &gt; </t>
    </r>
    <r>
      <rPr>
        <sz val="10"/>
        <rFont val="Noto Sans CJK SC"/>
        <family val="2"/>
      </rPr>
      <t xml:space="preserve">歷史建築 </t>
    </r>
    <r>
      <rPr>
        <sz val="10"/>
        <rFont val="Arial"/>
        <family val="0"/>
        <charset val="1"/>
      </rPr>
      <t xml:space="preserve">7.69 &gt; </t>
    </r>
    <r>
      <rPr>
        <sz val="10"/>
        <rFont val="Noto Sans CJK SC"/>
        <family val="2"/>
      </rPr>
      <t xml:space="preserve">屋台美食 </t>
    </r>
    <r>
      <rPr>
        <sz val="10"/>
        <rFont val="Arial"/>
        <family val="0"/>
        <charset val="1"/>
      </rPr>
      <t xml:space="preserve">7.57 &gt; </t>
    </r>
    <r>
      <rPr>
        <sz val="10"/>
        <rFont val="Noto Sans CJK SC"/>
        <family val="2"/>
      </rPr>
      <t xml:space="preserve">傳統市場 </t>
    </r>
    <r>
      <rPr>
        <sz val="10"/>
        <rFont val="Arial"/>
        <family val="0"/>
        <charset val="1"/>
      </rPr>
      <t xml:space="preserve">7.38 &gt; </t>
    </r>
    <r>
      <rPr>
        <sz val="10"/>
        <rFont val="Noto Sans CJK SC"/>
        <family val="2"/>
      </rPr>
      <t xml:space="preserve">夜景 </t>
    </r>
    <r>
      <rPr>
        <sz val="10"/>
        <rFont val="Arial"/>
        <family val="0"/>
        <charset val="1"/>
      </rPr>
      <t xml:space="preserve">7.05(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</si>
  <si>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排行實數</t>
  </si>
  <si>
    <t xml:space="preserve">旅マエ — 活動興趣度</t>
  </si>
  <si>
    <t xml:space="preserve">業態優先序依據</t>
  </si>
  <si>
    <r>
      <rPr>
        <sz val="10"/>
        <rFont val="Noto Sans CJK SC"/>
        <family val="2"/>
      </rPr>
      <t xml:space="preserve">完整排行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優先序</t>
    </r>
  </si>
  <si>
    <t xml:space="preserve">Q34</t>
  </si>
  <si>
    <r>
      <rPr>
        <sz val="10"/>
        <rFont val="Noto Sans CJK SC"/>
        <family val="2"/>
      </rPr>
      <t xml:space="preserve">文化體驗類業態的市場潛力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</si>
  <si>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茶道・着物体験のマーケットは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</si>
  <si>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茶道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和服體驗市場大嗎</t>
    </r>
    <r>
      <rPr>
        <sz val="10"/>
        <rFont val="Arial"/>
        <family val="0"/>
        <charset val="1"/>
      </rPr>
      <t xml:space="preserve">?</t>
    </r>
  </si>
  <si>
    <t xml:space="preserve">Cultural experience market potential?</t>
  </si>
  <si>
    <t xml:space="preserve">歐美客興趣顯著高於亞洲、客單可拉高、適合與京都動線聯動。</t>
  </si>
  <si>
    <t xml:space="preserve">市場差異、客單潛力</t>
  </si>
  <si>
    <r>
      <rPr>
        <sz val="10"/>
        <rFont val="Noto Sans CJK SC"/>
        <family val="2"/>
      </rPr>
      <t xml:space="preserve">旅マエ — 活動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市場</t>
    </r>
  </si>
  <si>
    <t xml:space="preserve">文化體驗業評估</t>
  </si>
  <si>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客單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聯動建議</t>
    </r>
  </si>
  <si>
    <t xml:space="preserve">Q35</t>
  </si>
  <si>
    <r>
      <rPr>
        <sz val="10"/>
        <rFont val="Noto Sans CJK SC"/>
        <family val="2"/>
      </rPr>
      <t xml:space="preserve">拍照打卡型業態值不值得做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</si>
  <si>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インスタ映え系の店、需要ある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</si>
  <si>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打卡店有市場嗎</t>
    </r>
    <r>
      <rPr>
        <sz val="10"/>
        <rFont val="Arial"/>
        <family val="0"/>
        <charset val="1"/>
      </rPr>
      <t xml:space="preserve">?</t>
    </r>
  </si>
  <si>
    <t xml:space="preserve">Photo-spot business viability?</t>
  </si>
  <si>
    <r>
      <rPr>
        <sz val="10"/>
        <rFont val="Arial"/>
        <family val="0"/>
        <charset val="1"/>
      </rPr>
      <t xml:space="preserve">Z </t>
    </r>
    <r>
      <rPr>
        <sz val="10"/>
        <rFont val="Noto Sans CJK SC"/>
        <family val="2"/>
      </rPr>
      <t xml:space="preserve">世代與東南亞、台、韓年輕客為核心。要避免「只有拍照、回購低」陷阱。</t>
    </r>
  </si>
  <si>
    <t xml:space="preserve">目標客群、風險提醒</t>
  </si>
  <si>
    <r>
      <rPr>
        <sz val="10"/>
        <rFont val="Noto Sans CJK SC"/>
        <family val="2"/>
      </rPr>
      <t xml:space="preserve">旅マエ — 年齡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興趣</t>
    </r>
  </si>
  <si>
    <t xml:space="preserve">打卡業態風險評估</t>
  </si>
  <si>
    <r>
      <rPr>
        <sz val="10"/>
        <rFont val="Noto Sans CJK SC"/>
        <family val="2"/>
      </rPr>
      <t xml:space="preserve">客群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風險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混搭策略</t>
    </r>
  </si>
  <si>
    <t xml:space="preserve">Q36</t>
  </si>
  <si>
    <r>
      <rPr>
        <sz val="10"/>
        <rFont val="Noto Sans CJK SC"/>
        <family val="2"/>
      </rPr>
      <t xml:space="preserve">外帶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內用甜點哪個機會大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</si>
  <si>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テイクアウト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イートイン、どちら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</si>
  <si>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外帶店還是內用店</t>
    </r>
    <r>
      <rPr>
        <sz val="10"/>
        <rFont val="Arial"/>
        <family val="0"/>
        <charset val="1"/>
      </rPr>
      <t xml:space="preserve">?</t>
    </r>
  </si>
  <si>
    <t xml:space="preserve">Takeout vs dine-in sweets?</t>
  </si>
  <si>
    <r>
      <rPr>
        <sz val="10"/>
        <rFont val="Noto Sans CJK SC"/>
        <family val="2"/>
      </rPr>
      <t xml:space="preserve">外帶配道頓堀打卡動線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客單低週轉高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內用配心齋橋休息需求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對應「休息空間少」抱怨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客單高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</si>
  <si>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兩模式適配場景</t>
  </si>
  <si>
    <t xml:space="preserve">甜點業態關鍵抉擇</t>
  </si>
  <si>
    <r>
      <rPr>
        <sz val="10"/>
        <rFont val="Noto Sans CJK SC"/>
        <family val="2"/>
      </rPr>
      <t xml:space="preserve">兩模式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課題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機會點</t>
    </r>
  </si>
  <si>
    <t xml:space="preserve">Q37</t>
  </si>
  <si>
    <r>
      <rPr>
        <sz val="10"/>
        <rFont val="Noto Sans CJK SC"/>
        <family val="2"/>
      </rPr>
      <t xml:space="preserve">業者要不要做多語對應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</si>
  <si>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多言語対応、本当に必要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</si>
  <si>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需要多國語言菜單嗎</t>
    </r>
    <r>
      <rPr>
        <sz val="10"/>
        <rFont val="Arial"/>
        <family val="0"/>
        <charset val="1"/>
      </rPr>
      <t xml:space="preserve">?</t>
    </r>
  </si>
  <si>
    <t xml:space="preserve">Multi-language really necessary?</t>
  </si>
  <si>
    <r>
      <rPr>
        <sz val="10"/>
        <rFont val="Noto Sans CJK SC"/>
        <family val="2"/>
      </rPr>
      <t xml:space="preserve">語言重視度 </t>
    </r>
    <r>
      <rPr>
        <sz val="10"/>
        <rFont val="Arial"/>
        <family val="0"/>
        <charset val="1"/>
      </rPr>
      <t xml:space="preserve">3.87 &lt; </t>
    </r>
    <r>
      <rPr>
        <sz val="10"/>
        <rFont val="Noto Sans CJK SC"/>
        <family val="2"/>
      </rPr>
      <t xml:space="preserve">信賴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評價 </t>
    </r>
    <r>
      <rPr>
        <sz val="10"/>
        <rFont val="Arial"/>
        <family val="0"/>
        <charset val="1"/>
      </rPr>
      <t xml:space="preserve">4.08(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。有總比沒有好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但口碑經營優先。</t>
    </r>
  </si>
  <si>
    <t xml:space="preserve">實數比較、結論方向</t>
  </si>
  <si>
    <t xml:space="preserve">旅マエ — 飲食店重視點</t>
  </si>
  <si>
    <t xml:space="preserve">資源分配判斷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</si>
  <si>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結論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避免絕對化</t>
    </r>
  </si>
  <si>
    <t xml:space="preserve">Q38</t>
  </si>
  <si>
    <r>
      <rPr>
        <sz val="10"/>
        <rFont val="Noto Sans CJK SC"/>
        <family val="2"/>
      </rPr>
      <t xml:space="preserve">要不要做線上預約系統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</si>
  <si>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オンライン予約、必須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</si>
  <si>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線上預約必要嗎</t>
    </r>
    <r>
      <rPr>
        <sz val="10"/>
        <rFont val="Arial"/>
        <family val="0"/>
        <charset val="1"/>
      </rPr>
      <t xml:space="preserve">?</t>
    </r>
  </si>
  <si>
    <t xml:space="preserve">Online booking necessary?</t>
  </si>
  <si>
    <r>
      <rPr>
        <sz val="10"/>
        <rFont val="Noto Sans CJK SC"/>
        <family val="2"/>
      </rPr>
      <t xml:space="preserve">預約便利度 </t>
    </r>
    <r>
      <rPr>
        <sz val="10"/>
        <rFont val="Arial"/>
        <family val="0"/>
        <charset val="1"/>
      </rPr>
      <t xml:space="preserve">3.96(</t>
    </r>
    <r>
      <rPr>
        <sz val="10"/>
        <rFont val="Noto Sans CJK SC"/>
        <family val="2"/>
      </rPr>
      <t xml:space="preserve">餐飲</t>
    </r>
    <r>
      <rPr>
        <sz val="10"/>
        <rFont val="Arial"/>
        <family val="0"/>
        <charset val="1"/>
      </rPr>
      <t xml:space="preserve">)/4.00(</t>
    </r>
    <r>
      <rPr>
        <sz val="10"/>
        <rFont val="Noto Sans CJK SC"/>
        <family val="2"/>
      </rPr>
      <t xml:space="preserve">活動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中等重要。餐飲餐期可考慮、體驗類強烈建議。</t>
    </r>
  </si>
  <si>
    <t xml:space="preserve">實數、業態差異</t>
  </si>
  <si>
    <t xml:space="preserve">旅マエ — 預約便利度</t>
  </si>
  <si>
    <t xml:space="preserve">技術投資判斷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</si>
  <si>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業態差異</t>
    </r>
  </si>
  <si>
    <t xml:space="preserve">Q39</t>
  </si>
  <si>
    <r>
      <rPr>
        <sz val="10"/>
        <rFont val="Noto Sans CJK SC"/>
        <family val="2"/>
      </rPr>
      <t xml:space="preserve">高級餐飲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庶民美食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哪邊空間大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</si>
  <si>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高級店 </t>
    </r>
    <r>
      <rPr>
        <sz val="10"/>
        <rFont val="Arial"/>
        <family val="0"/>
        <charset val="1"/>
      </rPr>
      <t xml:space="preserve">vs B</t>
    </r>
    <r>
      <rPr>
        <sz val="10"/>
        <rFont val="Noto Sans CJK SC"/>
        <family val="2"/>
      </rPr>
      <t xml:space="preserve">級グルメ、どちらに伸びしろ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</si>
  <si>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做高端還是平價</t>
    </r>
    <r>
      <rPr>
        <sz val="10"/>
        <rFont val="Arial"/>
        <family val="0"/>
        <charset val="1"/>
      </rPr>
      <t xml:space="preserve">?</t>
    </r>
  </si>
  <si>
    <t xml:space="preserve">Fine dining vs B-class gourmet?</t>
  </si>
  <si>
    <r>
      <rPr>
        <sz val="10"/>
        <rFont val="Noto Sans CJK SC"/>
        <family val="2"/>
      </rPr>
      <t xml:space="preserve">高級餐廳 </t>
    </r>
    <r>
      <rPr>
        <sz val="10"/>
        <rFont val="Arial"/>
        <family val="0"/>
        <charset val="1"/>
      </rPr>
      <t xml:space="preserve">6.91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級美食 </t>
    </r>
    <r>
      <rPr>
        <sz val="10"/>
        <rFont val="Arial"/>
        <family val="0"/>
        <charset val="1"/>
      </rPr>
      <t xml:space="preserve">7.57(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。量大選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級、單高選高級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市場差異。</t>
    </r>
  </si>
  <si>
    <t xml:space="preserve">兩實數對比、量值權衡</t>
  </si>
  <si>
    <t xml:space="preserve">業態定位</t>
  </si>
  <si>
    <r>
      <rPr>
        <sz val="10"/>
        <rFont val="Noto Sans CJK SC"/>
        <family val="2"/>
      </rPr>
      <t xml:space="preserve">兩數對比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量值權衡</t>
    </r>
  </si>
  <si>
    <t xml:space="preserve">Q40</t>
  </si>
  <si>
    <r>
      <rPr>
        <sz val="10"/>
        <rFont val="Noto Sans CJK SC"/>
        <family val="2"/>
      </rPr>
      <t xml:space="preserve">大阪「還沒被滿足」的業態類型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</si>
  <si>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ブルーオーシャンの業態は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</si>
  <si>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藍海業態在哪</t>
    </r>
    <r>
      <rPr>
        <sz val="10"/>
        <rFont val="Arial"/>
        <family val="0"/>
        <charset val="1"/>
      </rPr>
      <t xml:space="preserve">?</t>
    </r>
  </si>
  <si>
    <t xml:space="preserve">Underserved business categories?</t>
  </si>
  <si>
    <r>
      <rPr>
        <sz val="10"/>
        <rFont val="Noto Sans CJK SC"/>
        <family val="2"/>
      </rPr>
      <t xml:space="preserve">從旅客課題反推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外國人友善休息餐飲、清真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素食、夜間多元選擇、親子友善。</t>
    </r>
  </si>
  <si>
    <t xml:space="preserve">從課題反推、業態方向</t>
  </si>
  <si>
    <r>
      <rPr>
        <sz val="10"/>
        <rFont val="Noto Sans CJK SC"/>
        <family val="2"/>
      </rPr>
      <t xml:space="preserve">觀光地點參數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市場特性</t>
    </r>
  </si>
  <si>
    <t xml:space="preserve">新進業者藍海</t>
  </si>
  <si>
    <r>
      <rPr>
        <sz val="10"/>
        <rFont val="Noto Sans CJK SC"/>
        <family val="2"/>
      </rPr>
      <t xml:space="preserve">課題反推</t>
    </r>
    <r>
      <rPr>
        <sz val="10"/>
        <rFont val="Arial"/>
        <family val="0"/>
        <charset val="1"/>
      </rPr>
      <t xml:space="preserve">+2-3 </t>
    </r>
    <r>
      <rPr>
        <sz val="10"/>
        <rFont val="Noto Sans CJK SC"/>
        <family val="2"/>
      </rPr>
      <t xml:space="preserve">業態方向</t>
    </r>
  </si>
  <si>
    <t xml:space="preserve">Q41</t>
  </si>
  <si>
    <t xml:space="preserve">行銷通路</t>
  </si>
  <si>
    <r>
      <rPr>
        <sz val="10"/>
        <rFont val="Noto Sans CJK SC"/>
        <family val="2"/>
      </rPr>
      <t xml:space="preserve">外國旅客資訊收集前三大管道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</si>
  <si>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情報源トップ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</si>
  <si>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外國客都從哪找資訊</t>
    </r>
    <r>
      <rPr>
        <sz val="10"/>
        <rFont val="Arial"/>
        <family val="0"/>
        <charset val="1"/>
      </rPr>
      <t xml:space="preserve">?</t>
    </r>
  </si>
  <si>
    <t xml:space="preserve">Top 3 info channels?</t>
  </si>
  <si>
    <r>
      <rPr>
        <sz val="10"/>
        <rFont val="Noto Sans CJK SC"/>
        <family val="2"/>
      </rPr>
      <t xml:space="preserve">影片網站 </t>
    </r>
    <r>
      <rPr>
        <sz val="10"/>
        <rFont val="Arial"/>
        <family val="0"/>
        <charset val="1"/>
      </rPr>
      <t xml:space="preserve">44.2% &gt; </t>
    </r>
    <r>
      <rPr>
        <sz val="10"/>
        <rFont val="Noto Sans CJK SC"/>
        <family val="2"/>
      </rPr>
      <t xml:space="preserve">口碑網站 </t>
    </r>
    <r>
      <rPr>
        <sz val="10"/>
        <rFont val="Arial"/>
        <family val="0"/>
        <charset val="1"/>
      </rPr>
      <t xml:space="preserve">43.8% &gt; SNS 42.4%(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</si>
  <si>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前三排序實數</t>
  </si>
  <si>
    <t xml:space="preserve">旅マエ — 情報源</t>
  </si>
  <si>
    <t xml:space="preserve">行銷通路優先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</si>
  <si>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排序</t>
    </r>
  </si>
  <si>
    <t xml:space="preserve">Q42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</si>
  <si>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工具在旅客資訊收集的比例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</si>
  <si>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で旅行計画する人、どれくらい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</si>
  <si>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規劃旅遊的人多嗎</t>
    </r>
    <r>
      <rPr>
        <sz val="10"/>
        <rFont val="Arial"/>
        <family val="0"/>
        <charset val="1"/>
      </rPr>
      <t xml:space="preserve">?</t>
    </r>
  </si>
  <si>
    <t xml:space="preserve">Tourists using AI for trip planning?</t>
  </si>
  <si>
    <r>
      <rPr>
        <sz val="10"/>
        <rFont val="Arial"/>
        <family val="0"/>
        <charset val="1"/>
      </rPr>
      <t xml:space="preserve">AI(ChatGPT/Chatbot)23.4%,</t>
    </r>
    <r>
      <rPr>
        <sz val="10"/>
        <rFont val="Noto Sans CJK SC"/>
        <family val="2"/>
      </rPr>
      <t xml:space="preserve">接近旅遊網紅 </t>
    </r>
    <r>
      <rPr>
        <sz val="10"/>
        <rFont val="Arial"/>
        <family val="0"/>
        <charset val="1"/>
      </rPr>
      <t xml:space="preserve">23.8%</t>
    </r>
    <r>
      <rPr>
        <sz val="10"/>
        <rFont val="Noto Sans CJK SC"/>
        <family val="2"/>
      </rPr>
      <t xml:space="preserve">。新興強勢通路。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</si>
  <si>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使用率實數</t>
    </r>
  </si>
  <si>
    <t xml:space="preserve">本提案立案依據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</si>
  <si>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新興通路解讀</t>
    </r>
  </si>
  <si>
    <t xml:space="preserve">Q43</t>
  </si>
  <si>
    <r>
      <rPr>
        <sz val="10"/>
        <rFont val="Noto Sans CJK SC"/>
        <family val="2"/>
      </rPr>
      <t xml:space="preserve">業者該優先投放在哪個 </t>
    </r>
    <r>
      <rPr>
        <sz val="10"/>
        <rFont val="Arial"/>
        <family val="0"/>
        <charset val="1"/>
      </rPr>
      <t xml:space="preserve">SNS?</t>
    </r>
  </si>
  <si>
    <r>
      <rPr>
        <sz val="10"/>
        <rFont val="Arial"/>
        <family val="0"/>
        <charset val="1"/>
      </rPr>
      <t xml:space="preserve">Instagram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TikTok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、どこに広告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</si>
  <si>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廣告投哪個</t>
    </r>
    <r>
      <rPr>
        <sz val="10"/>
        <rFont val="Arial"/>
        <family val="0"/>
        <charset val="1"/>
      </rPr>
      <t xml:space="preserve">?</t>
    </r>
  </si>
  <si>
    <t xml:space="preserve">Which SNS to prioritize?</t>
  </si>
  <si>
    <r>
      <rPr>
        <sz val="10"/>
        <rFont val="Noto Sans CJK SC"/>
        <family val="2"/>
      </rPr>
      <t xml:space="preserve">依市場與年齡</t>
    </r>
    <r>
      <rPr>
        <sz val="10"/>
        <rFont val="Arial"/>
        <family val="0"/>
        <charset val="1"/>
      </rPr>
      <t xml:space="preserve">:Instagram(</t>
    </r>
    <r>
      <rPr>
        <sz val="10"/>
        <rFont val="Noto Sans CJK SC"/>
        <family val="2"/>
      </rPr>
      <t xml:space="preserve">歐美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全年齡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TikTok(</t>
    </r>
    <r>
      <rPr>
        <sz val="10"/>
        <rFont val="Noto Sans CJK SC"/>
        <family val="2"/>
      </rPr>
      <t xml:space="preserve">年輕亞洲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X(</t>
    </r>
    <r>
      <rPr>
        <sz val="10"/>
        <rFont val="Noto Sans CJK SC"/>
        <family val="2"/>
      </rPr>
      <t xml:space="preserve">日本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東亞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、小紅書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</si>
  <si>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依市場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年齡建議</t>
    </r>
  </si>
  <si>
    <r>
      <rPr>
        <sz val="10"/>
        <rFont val="Noto Sans CJK SC"/>
        <family val="2"/>
      </rPr>
      <t xml:space="preserve">旅マエ — </t>
    </r>
    <r>
      <rPr>
        <sz val="10"/>
        <rFont val="Arial"/>
        <family val="0"/>
        <charset val="1"/>
      </rPr>
      <t xml:space="preserve">SNS × </t>
    </r>
    <r>
      <rPr>
        <sz val="10"/>
        <rFont val="Noto Sans CJK SC"/>
        <family val="2"/>
      </rPr>
      <t xml:space="preserve">市場</t>
    </r>
  </si>
  <si>
    <t xml:space="preserve">廣告預算分配</t>
  </si>
  <si>
    <r>
      <rPr>
        <sz val="10"/>
        <rFont val="Noto Sans CJK SC"/>
        <family val="2"/>
      </rPr>
      <t xml:space="preserve">依市場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不單推一個</t>
    </r>
  </si>
  <si>
    <t xml:space="preserve">Q44</t>
  </si>
  <si>
    <r>
      <rPr>
        <sz val="10"/>
        <rFont val="Noto Sans CJK SC"/>
        <family val="2"/>
      </rPr>
      <t xml:space="preserve">旅客什麼時候決定餐飲店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</si>
  <si>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いつ決める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</si>
  <si>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餐廳是什麼時候才決定要去</t>
    </r>
    <r>
      <rPr>
        <sz val="10"/>
        <rFont val="Arial"/>
        <family val="0"/>
        <charset val="1"/>
      </rPr>
      <t xml:space="preserve">?</t>
    </r>
  </si>
  <si>
    <t xml:space="preserve">When do tourists decide restaurants?</t>
  </si>
  <si>
    <r>
      <rPr>
        <sz val="10"/>
        <rFont val="Noto Sans CJK SC"/>
        <family val="2"/>
      </rPr>
      <t xml:space="preserve">飲食店「到當日決定」比例最高。街頭</t>
    </r>
    <r>
      <rPr>
        <sz val="10"/>
        <rFont val="Arial"/>
        <family val="0"/>
        <charset val="1"/>
      </rPr>
      <t xml:space="preserve">+Google Map </t>
    </r>
    <r>
      <rPr>
        <sz val="10"/>
        <rFont val="Noto Sans CJK SC"/>
        <family val="2"/>
      </rPr>
      <t xml:space="preserve">為主戰場、出發前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月以上比例低。</t>
    </r>
  </si>
  <si>
    <t xml:space="preserve">決定時期分布</t>
  </si>
  <si>
    <t xml:space="preserve">旅マエ — 決定時期</t>
  </si>
  <si>
    <t xml:space="preserve">行銷時機判斷</t>
  </si>
  <si>
    <r>
      <rPr>
        <sz val="10"/>
        <rFont val="Noto Sans CJK SC"/>
        <family val="2"/>
      </rPr>
      <t xml:space="preserve">時間分布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</si>
  <si>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Q45</t>
  </si>
  <si>
    <r>
      <rPr>
        <sz val="10"/>
        <rFont val="Noto Sans CJK SC"/>
        <family val="2"/>
      </rPr>
      <t xml:space="preserve">「行前廣告」</t>
    </r>
    <r>
      <rPr>
        <sz val="10"/>
        <rFont val="Arial"/>
        <family val="0"/>
        <charset val="1"/>
      </rPr>
      <t xml:space="preserve">vs</t>
    </r>
    <r>
      <rPr>
        <sz val="10"/>
        <rFont val="Noto Sans CJK SC"/>
        <family val="2"/>
      </rPr>
      <t xml:space="preserve">「在地推廣」哪個 </t>
    </r>
    <r>
      <rPr>
        <sz val="10"/>
        <rFont val="Arial"/>
        <family val="0"/>
        <charset val="1"/>
      </rPr>
      <t xml:space="preserve">ROI 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</si>
  <si>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事前広告と現地プロモ、どちらが効果的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</si>
  <si>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行前打廣告還是在地推廣</t>
    </r>
    <r>
      <rPr>
        <sz val="10"/>
        <rFont val="Arial"/>
        <family val="0"/>
        <charset val="1"/>
      </rPr>
      <t xml:space="preserve">?</t>
    </r>
  </si>
  <si>
    <t xml:space="preserve">Pre-trip vs on-site marketing ROI?</t>
  </si>
  <si>
    <r>
      <rPr>
        <sz val="10"/>
        <rFont val="Noto Sans CJK SC"/>
        <family val="2"/>
      </rPr>
      <t xml:space="preserve">餐飲類在地推廣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行前廣告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體驗類則相反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行前預約多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</si>
  <si>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業態差異、</t>
    </r>
    <r>
      <rPr>
        <sz val="10"/>
        <rFont val="Arial"/>
        <family val="0"/>
        <charset val="1"/>
      </rPr>
      <t xml:space="preserve">ROI </t>
    </r>
    <r>
      <rPr>
        <sz val="10"/>
        <rFont val="Noto Sans CJK SC"/>
        <family val="2"/>
      </rPr>
      <t xml:space="preserve">邏輯</t>
    </r>
  </si>
  <si>
    <r>
      <rPr>
        <sz val="10"/>
        <rFont val="Noto Sans CJK SC"/>
        <family val="2"/>
      </rPr>
      <t xml:space="preserve">旅マエ — 決定時期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業態</t>
    </r>
  </si>
  <si>
    <t xml:space="preserve">行銷預算配置</t>
  </si>
  <si>
    <r>
      <rPr>
        <sz val="10"/>
        <rFont val="Noto Sans CJK SC"/>
        <family val="2"/>
      </rPr>
      <t xml:space="preserve">業態差異</t>
    </r>
    <r>
      <rPr>
        <sz val="10"/>
        <rFont val="Arial"/>
        <family val="0"/>
        <charset val="1"/>
      </rPr>
      <t xml:space="preserve">+ROI </t>
    </r>
    <r>
      <rPr>
        <sz val="10"/>
        <rFont val="Noto Sans CJK SC"/>
        <family val="2"/>
      </rPr>
      <t xml:space="preserve">邏輯</t>
    </r>
  </si>
  <si>
    <t xml:space="preserve">Q46</t>
  </si>
  <si>
    <r>
      <rPr>
        <sz val="10"/>
        <rFont val="Arial"/>
        <family val="0"/>
        <charset val="1"/>
      </rPr>
      <t xml:space="preserve">Google Map / Google Business Profile </t>
    </r>
    <r>
      <rPr>
        <sz val="10"/>
        <rFont val="Noto Sans CJK SC"/>
        <family val="2"/>
      </rPr>
      <t xml:space="preserve">重要嗎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</si>
  <si>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マップ対策必須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</si>
  <si>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地圖要經營嗎</t>
    </r>
    <r>
      <rPr>
        <sz val="10"/>
        <rFont val="Arial"/>
        <family val="0"/>
        <charset val="1"/>
      </rPr>
      <t xml:space="preserve">?</t>
    </r>
  </si>
  <si>
    <t xml:space="preserve">Google Map presence necessary?</t>
  </si>
  <si>
    <r>
      <rPr>
        <sz val="10"/>
        <rFont val="Noto Sans CJK SC"/>
        <family val="2"/>
      </rPr>
      <t xml:space="preserve">地圖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為旅客資訊源前 </t>
    </r>
    <r>
      <rPr>
        <sz val="10"/>
        <rFont val="Arial"/>
        <family val="0"/>
        <charset val="1"/>
      </rPr>
      <t xml:space="preserve">4(37.7%)</t>
    </r>
    <r>
      <rPr>
        <sz val="10"/>
        <rFont val="Noto Sans CJK SC"/>
        <family val="2"/>
      </rPr>
      <t xml:space="preserve">。餐飲類為「到當地決定」型</t>
    </r>
    <r>
      <rPr>
        <sz val="10"/>
        <rFont val="Arial"/>
        <family val="0"/>
        <charset val="1"/>
      </rPr>
      <t xml:space="preserve">,Google </t>
    </r>
    <r>
      <rPr>
        <sz val="10"/>
        <rFont val="Noto Sans CJK SC"/>
        <family val="2"/>
      </rPr>
      <t xml:space="preserve">經營為基本盤。</t>
    </r>
  </si>
  <si>
    <t xml:space="preserve">兩數據交叉</t>
  </si>
  <si>
    <r>
      <rPr>
        <sz val="10"/>
        <rFont val="Noto Sans CJK SC"/>
        <family val="2"/>
      </rPr>
      <t xml:space="preserve">旅マエ — 情報源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決定時期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</si>
  <si>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經營基本盤</t>
    </r>
  </si>
  <si>
    <t xml:space="preserve">雙數據交叉支持</t>
  </si>
  <si>
    <t xml:space="preserve">Q47</t>
  </si>
  <si>
    <r>
      <rPr>
        <sz val="10"/>
        <rFont val="Noto Sans CJK SC"/>
        <family val="2"/>
      </rPr>
      <t xml:space="preserve">在地 </t>
    </r>
    <r>
      <rPr>
        <sz val="10"/>
        <rFont val="Arial"/>
        <family val="0"/>
        <charset val="1"/>
      </rPr>
      <t xml:space="preserve">KOL/</t>
    </r>
    <r>
      <rPr>
        <sz val="10"/>
        <rFont val="Noto Sans CJK SC"/>
        <family val="2"/>
      </rPr>
      <t xml:space="preserve">影片業配值得做嗎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</si>
  <si>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インフルエンサー使うべき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</si>
  <si>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找網紅有用嗎</t>
    </r>
    <r>
      <rPr>
        <sz val="10"/>
        <rFont val="Arial"/>
        <family val="0"/>
        <charset val="1"/>
      </rPr>
      <t xml:space="preserve">?</t>
    </r>
  </si>
  <si>
    <t xml:space="preserve">Influencer marketing worth it?</t>
  </si>
  <si>
    <r>
      <rPr>
        <sz val="10"/>
        <rFont val="Noto Sans CJK SC"/>
        <family val="2"/>
      </rPr>
      <t xml:space="preserve">旅遊 </t>
    </r>
    <r>
      <rPr>
        <sz val="10"/>
        <rFont val="Arial"/>
        <family val="0"/>
        <charset val="1"/>
      </rPr>
      <t xml:space="preserve">KOL 23.8%(</t>
    </r>
    <r>
      <rPr>
        <sz val="10"/>
        <rFont val="Noto Sans CJK SC"/>
        <family val="2"/>
      </rPr>
      <t xml:space="preserve">比平均低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但影片網站 </t>
    </r>
    <r>
      <rPr>
        <sz val="10"/>
        <rFont val="Arial"/>
        <family val="0"/>
        <charset val="1"/>
      </rPr>
      <t xml:space="preserve">44.2% </t>
    </r>
    <r>
      <rPr>
        <sz val="10"/>
        <rFont val="Noto Sans CJK SC"/>
        <family val="2"/>
      </rPr>
      <t xml:space="preserve">為最高源。影片內容 </t>
    </r>
    <r>
      <rPr>
        <sz val="10"/>
        <rFont val="Arial"/>
        <family val="0"/>
        <charset val="1"/>
      </rPr>
      <t xml:space="preserve">&gt; KOL </t>
    </r>
    <r>
      <rPr>
        <sz val="10"/>
        <rFont val="Noto Sans CJK SC"/>
        <family val="2"/>
      </rPr>
      <t xml:space="preserve">個人。</t>
    </r>
  </si>
  <si>
    <r>
      <rPr>
        <sz val="10"/>
        <rFont val="Noto Sans CJK SC"/>
        <family val="2"/>
      </rPr>
      <t xml:space="preserve">區分 </t>
    </r>
    <r>
      <rPr>
        <sz val="10"/>
        <rFont val="Arial"/>
        <family val="0"/>
        <charset val="1"/>
      </rPr>
      <t xml:space="preserve">KOL vs </t>
    </r>
    <r>
      <rPr>
        <sz val="10"/>
        <rFont val="Noto Sans CJK SC"/>
        <family val="2"/>
      </rPr>
      <t xml:space="preserve">影片</t>
    </r>
  </si>
  <si>
    <t xml:space="preserve">旅マエ — 情報源比較</t>
  </si>
  <si>
    <t xml:space="preserve">網紅預算判斷</t>
  </si>
  <si>
    <r>
      <rPr>
        <sz val="10"/>
        <rFont val="Noto Sans CJK SC"/>
        <family val="2"/>
      </rPr>
      <t xml:space="preserve">區分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策略建議</t>
    </r>
  </si>
  <si>
    <t xml:space="preserve">Q48</t>
  </si>
  <si>
    <r>
      <rPr>
        <sz val="10"/>
        <rFont val="Noto Sans CJK SC"/>
        <family val="2"/>
      </rPr>
      <t xml:space="preserve">旅客重視官方資訊嗎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</si>
  <si>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観光局公式情報、見られてる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</si>
  <si>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官方網站有人看嗎</t>
    </r>
    <r>
      <rPr>
        <sz val="10"/>
        <rFont val="Arial"/>
        <family val="0"/>
        <charset val="1"/>
      </rPr>
      <t xml:space="preserve">?</t>
    </r>
  </si>
  <si>
    <t xml:space="preserve">Official tourism info readership?</t>
  </si>
  <si>
    <r>
      <rPr>
        <sz val="10"/>
        <rFont val="Noto Sans CJK SC"/>
        <family val="2"/>
      </rPr>
      <t xml:space="preserve">地方觀光協會官網 </t>
    </r>
    <r>
      <rPr>
        <sz val="10"/>
        <rFont val="Arial"/>
        <family val="0"/>
        <charset val="1"/>
      </rPr>
      <t xml:space="preserve">26.6%</t>
    </r>
    <r>
      <rPr>
        <sz val="10"/>
        <rFont val="Noto Sans CJK SC"/>
        <family val="2"/>
      </rPr>
      <t xml:space="preserve">、旅遊指南 </t>
    </r>
    <r>
      <rPr>
        <sz val="10"/>
        <rFont val="Arial"/>
        <family val="0"/>
        <charset val="1"/>
      </rPr>
      <t xml:space="preserve">26.1%</t>
    </r>
    <r>
      <rPr>
        <sz val="10"/>
        <rFont val="Noto Sans CJK SC"/>
        <family val="2"/>
      </rPr>
      <t xml:space="preserve">。比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低但比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信賴度高、覆蓋率中。</t>
    </r>
  </si>
  <si>
    <t xml:space="preserve">實數定位策略</t>
  </si>
  <si>
    <t xml:space="preserve">官方背書管道應用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</si>
  <si>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定位策略</t>
    </r>
  </si>
  <si>
    <t xml:space="preserve">Q49</t>
  </si>
  <si>
    <r>
      <rPr>
        <sz val="10"/>
        <rFont val="Noto Sans CJK SC"/>
        <family val="2"/>
      </rPr>
      <t xml:space="preserve">旅遊書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紙本雜誌還有人看嗎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</si>
  <si>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ガイドブック、まだ有効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</si>
  <si>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印刷品有用嗎</t>
    </r>
    <r>
      <rPr>
        <sz val="10"/>
        <rFont val="Arial"/>
        <family val="0"/>
        <charset val="1"/>
      </rPr>
      <t xml:space="preserve">?</t>
    </r>
  </si>
  <si>
    <t xml:space="preserve">Are guidebooks still effective?</t>
  </si>
  <si>
    <r>
      <rPr>
        <sz val="10"/>
        <rFont val="Noto Sans CJK SC"/>
        <family val="2"/>
      </rPr>
      <t xml:space="preserve">旅遊指南 </t>
    </r>
    <r>
      <rPr>
        <sz val="10"/>
        <rFont val="Arial"/>
        <family val="0"/>
        <charset val="1"/>
      </rPr>
      <t xml:space="preserve">26.1%</t>
    </r>
    <r>
      <rPr>
        <sz val="10"/>
        <rFont val="Noto Sans CJK SC"/>
        <family val="2"/>
      </rPr>
      <t xml:space="preserve">、旅遊雜誌 </t>
    </r>
    <r>
      <rPr>
        <sz val="10"/>
        <rFont val="Arial"/>
        <family val="0"/>
        <charset val="1"/>
      </rPr>
      <t xml:space="preserve">9.4%</t>
    </r>
    <r>
      <rPr>
        <sz val="10"/>
        <rFont val="Noto Sans CJK SC"/>
        <family val="2"/>
      </rPr>
      <t xml:space="preserve">。特定族群有用、比例低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避免投放高齡導向。</t>
    </r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</si>
  <si>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族群建議</t>
    </r>
  </si>
  <si>
    <t xml:space="preserve">傳統媒體投放判斷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</si>
  <si>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年齡建議</t>
    </r>
  </si>
  <si>
    <t xml:space="preserve">Q50</t>
  </si>
  <si>
    <r>
      <rPr>
        <sz val="10"/>
        <rFont val="Noto Sans CJK SC"/>
        <family val="2"/>
      </rPr>
      <t xml:space="preserve">親友推薦對旅客決策的影響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</si>
  <si>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口コミ・知人紹介の影響は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</si>
  <si>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口碑跟親友推薦哪個強</t>
    </r>
    <r>
      <rPr>
        <sz val="10"/>
        <rFont val="Arial"/>
        <family val="0"/>
        <charset val="1"/>
      </rPr>
      <t xml:space="preserve">?</t>
    </r>
  </si>
  <si>
    <t xml:space="preserve">Word-of-mouth vs personal referral?</t>
  </si>
  <si>
    <r>
      <rPr>
        <sz val="10"/>
        <rFont val="Noto Sans CJK SC"/>
        <family val="2"/>
      </rPr>
      <t xml:space="preserve">親友推薦 </t>
    </r>
    <r>
      <rPr>
        <sz val="10"/>
        <rFont val="Arial"/>
        <family val="0"/>
        <charset val="1"/>
      </rPr>
      <t xml:space="preserve">26.6%</t>
    </r>
    <r>
      <rPr>
        <sz val="10"/>
        <rFont val="Noto Sans CJK SC"/>
        <family val="2"/>
      </rPr>
      <t xml:space="preserve">、口碑網站 </t>
    </r>
    <r>
      <rPr>
        <sz val="10"/>
        <rFont val="Arial"/>
        <family val="0"/>
        <charset val="1"/>
      </rPr>
      <t xml:space="preserve">43.8%</t>
    </r>
    <r>
      <rPr>
        <sz val="10"/>
        <rFont val="Noto Sans CJK SC"/>
        <family val="2"/>
      </rPr>
      <t xml:space="preserve">。口碑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親友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廣告。</t>
    </r>
  </si>
  <si>
    <t xml:space="preserve">三實數對比</t>
  </si>
  <si>
    <t xml:space="preserve">口碑經營策略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</si>
  <si>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口碑策略意涵</t>
    </r>
  </si>
  <si>
    <t xml:space="preserve">Q51</t>
  </si>
  <si>
    <t xml:space="preserve">定價策略</t>
  </si>
  <si>
    <r>
      <rPr>
        <sz val="10"/>
        <rFont val="Noto Sans CJK SC"/>
        <family val="2"/>
      </rPr>
      <t xml:space="preserve">外國旅客對價格敏感度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</si>
  <si>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価格感度は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</si>
  <si>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旅客對價格敏感嗎</t>
    </r>
    <r>
      <rPr>
        <sz val="10"/>
        <rFont val="Arial"/>
        <family val="0"/>
        <charset val="1"/>
      </rPr>
      <t xml:space="preserve">?</t>
    </r>
  </si>
  <si>
    <t xml:space="preserve">Price sensitivity?</t>
  </si>
  <si>
    <r>
      <rPr>
        <sz val="10"/>
        <rFont val="Noto Sans CJK SC"/>
        <family val="2"/>
      </rPr>
      <t xml:space="preserve">價格 </t>
    </r>
    <r>
      <rPr>
        <sz val="10"/>
        <rFont val="Arial"/>
        <family val="0"/>
        <charset val="1"/>
      </rPr>
      <t xml:space="preserve">4.13(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為飲食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活動選定第一重視點。全部市場都敏感。</t>
    </r>
  </si>
  <si>
    <t xml:space="preserve">實數第一重視點</t>
  </si>
  <si>
    <t xml:space="preserve">定價策略基礎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</si>
  <si>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跨市場通用</t>
    </r>
  </si>
  <si>
    <t xml:space="preserve">Q52</t>
  </si>
  <si>
    <r>
      <rPr>
        <sz val="10"/>
        <rFont val="Noto Sans CJK SC"/>
        <family val="2"/>
      </rPr>
      <t xml:space="preserve">哪國旅客願意花最多錢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</si>
  <si>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客単価が高い国は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</si>
  <si>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誰最願意花錢</t>
    </r>
    <r>
      <rPr>
        <sz val="10"/>
        <rFont val="Arial"/>
        <family val="0"/>
        <charset val="1"/>
      </rPr>
      <t xml:space="preserve">?</t>
    </r>
  </si>
  <si>
    <t xml:space="preserve">Highest-spending markets?</t>
  </si>
  <si>
    <r>
      <rPr>
        <sz val="10"/>
        <rFont val="Noto Sans CJK SC"/>
        <family val="2"/>
      </rPr>
      <t xml:space="preserve">高消費市場通常為澳、英、美。詳見 </t>
    </r>
    <r>
      <rPr>
        <sz val="10"/>
        <rFont val="Arial"/>
        <family val="0"/>
        <charset val="1"/>
      </rPr>
      <t xml:space="preserve">Q6 </t>
    </r>
    <r>
      <rPr>
        <sz val="10"/>
        <rFont val="Noto Sans CJK SC"/>
        <family val="2"/>
      </rPr>
      <t xml:space="preserve">客單價排行。</t>
    </r>
  </si>
  <si>
    <r>
      <rPr>
        <sz val="10"/>
        <rFont val="Noto Sans CJK SC"/>
        <family val="2"/>
      </rPr>
      <t xml:space="preserve">市場排行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Q6)</t>
    </r>
  </si>
  <si>
    <t xml:space="preserve">高端業者鎖定</t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</si>
  <si>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Q6</t>
    </r>
  </si>
  <si>
    <t xml:space="preserve">Q53</t>
  </si>
  <si>
    <r>
      <rPr>
        <sz val="10"/>
        <rFont val="Noto Sans CJK SC"/>
        <family val="2"/>
      </rPr>
      <t xml:space="preserve">餐飲合理客單價區間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以心齋橋為例</t>
    </r>
    <r>
      <rPr>
        <sz val="10"/>
        <rFont val="Arial"/>
        <family val="0"/>
        <charset val="1"/>
      </rPr>
      <t xml:space="preserve">)?</t>
    </r>
  </si>
  <si>
    <r>
      <rPr>
        <sz val="10"/>
        <rFont val="Noto Sans CJK SC"/>
        <family val="2"/>
      </rPr>
      <t xml:space="preserve">心斎橋での飲食店、適正単価は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</si>
  <si>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心齋橋餐廳該定多少</t>
    </r>
    <r>
      <rPr>
        <sz val="10"/>
        <rFont val="Arial"/>
        <family val="0"/>
        <charset val="1"/>
      </rPr>
      <t xml:space="preserve">?</t>
    </r>
  </si>
  <si>
    <t xml:space="preserve">Restaurant price range in Shinsaibashi?</t>
  </si>
  <si>
    <r>
      <rPr>
        <sz val="10"/>
        <rFont val="Noto Sans CJK SC"/>
        <family val="2"/>
      </rPr>
      <t xml:space="preserve">心齋橋旅客平均餐飲單次支出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模擬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。午餐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円、晚餐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円、甜點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円。</t>
    </r>
  </si>
  <si>
    <t xml:space="preserve">區段數字</t>
  </si>
  <si>
    <t xml:space="preserve">觀光地點參數 — 區域支出</t>
  </si>
  <si>
    <t xml:space="preserve">定價基準</t>
  </si>
  <si>
    <r>
      <rPr>
        <sz val="10"/>
        <rFont val="Noto Sans CJK SC"/>
        <family val="2"/>
      </rPr>
      <t xml:space="preserve">區段數字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</si>
  <si>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Q54</t>
  </si>
  <si>
    <r>
      <rPr>
        <sz val="10"/>
        <rFont val="Noto Sans CJK SC"/>
        <family val="2"/>
      </rPr>
      <t xml:space="preserve">動態定價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旺季加價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旅客接受度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</si>
  <si>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繁忙期割増、抵抗ある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</si>
  <si>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旺季加價可以嗎</t>
    </r>
    <r>
      <rPr>
        <sz val="10"/>
        <rFont val="Arial"/>
        <family val="0"/>
        <charset val="1"/>
      </rPr>
      <t xml:space="preserve">?</t>
    </r>
  </si>
  <si>
    <t xml:space="preserve">Dynamic pricing acceptance?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</si>
  <si>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無直接資料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邊界外題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。建議參考 </t>
    </r>
    <r>
      <rPr>
        <sz val="10"/>
        <rFont val="Arial"/>
        <family val="0"/>
        <charset val="1"/>
      </rPr>
      <t xml:space="preserve">Booking/Agoda </t>
    </r>
    <r>
      <rPr>
        <sz val="10"/>
        <rFont val="Noto Sans CJK SC"/>
        <family val="2"/>
      </rPr>
      <t xml:space="preserve">等動態定價研究。</t>
    </r>
  </si>
  <si>
    <t xml:space="preserve">邊界外、延伸建議</t>
  </si>
  <si>
    <t xml:space="preserve">無 — 邊界外</t>
  </si>
  <si>
    <t xml:space="preserve">測試誠實性</t>
  </si>
  <si>
    <r>
      <rPr>
        <sz val="10"/>
        <rFont val="Noto Sans CJK SC"/>
        <family val="2"/>
      </rPr>
      <t xml:space="preserve">明確邊界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延伸建議</t>
    </r>
  </si>
  <si>
    <t xml:space="preserve">Q55</t>
  </si>
  <si>
    <r>
      <rPr>
        <sz val="10"/>
        <rFont val="Noto Sans CJK SC"/>
        <family val="2"/>
      </rPr>
      <t xml:space="preserve">面向外國人定價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統一定價哪個好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</si>
  <si>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外国人向け価格、設定すべき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</si>
  <si>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對外國人差別定價可以嗎</t>
    </r>
    <r>
      <rPr>
        <sz val="10"/>
        <rFont val="Arial"/>
        <family val="0"/>
        <charset val="1"/>
      </rPr>
      <t xml:space="preserve">?</t>
    </r>
  </si>
  <si>
    <t xml:space="preserve">Foreigner-specific pricing OK?</t>
  </si>
  <si>
    <r>
      <rPr>
        <sz val="10"/>
        <rFont val="Noto Sans CJK SC"/>
        <family val="2"/>
      </rPr>
      <t xml:space="preserve">法律與評價風險高、信賴度 </t>
    </r>
    <r>
      <rPr>
        <sz val="10"/>
        <rFont val="Arial"/>
        <family val="0"/>
        <charset val="1"/>
      </rPr>
      <t xml:space="preserve">4.08 </t>
    </r>
    <r>
      <rPr>
        <sz val="10"/>
        <rFont val="Noto Sans CJK SC"/>
        <family val="2"/>
      </rPr>
      <t xml:space="preserve">為高重視項。統一定價對長期口碑有利。</t>
    </r>
  </si>
  <si>
    <r>
      <rPr>
        <sz val="10"/>
        <rFont val="Noto Sans CJK SC"/>
        <family val="2"/>
      </rPr>
      <t xml:space="preserve">信賴度實數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風險</t>
    </r>
  </si>
  <si>
    <t xml:space="preserve">旅マエ — 信賴度</t>
  </si>
  <si>
    <t xml:space="preserve">定價倫理判斷</t>
  </si>
  <si>
    <r>
      <rPr>
        <sz val="10"/>
        <rFont val="Noto Sans CJK SC"/>
        <family val="2"/>
      </rPr>
      <t xml:space="preserve">實數支持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風險提醒</t>
    </r>
  </si>
  <si>
    <t xml:space="preserve">Q56</t>
  </si>
  <si>
    <r>
      <rPr>
        <sz val="10"/>
        <rFont val="Noto Sans CJK SC"/>
        <family val="2"/>
      </rPr>
      <t xml:space="preserve">哪國旅客對優惠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折扣反應最強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</si>
  <si>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ディスカウントに反応する国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</si>
  <si>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誰對折扣最敏感</t>
    </r>
    <r>
      <rPr>
        <sz val="10"/>
        <rFont val="Arial"/>
        <family val="0"/>
        <charset val="1"/>
      </rPr>
      <t xml:space="preserve">?</t>
    </r>
  </si>
  <si>
    <t xml:space="preserve">Most discount-sensitive markets?</t>
  </si>
  <si>
    <r>
      <rPr>
        <sz val="10"/>
        <rFont val="Noto Sans CJK SC"/>
        <family val="2"/>
      </rPr>
      <t xml:space="preserve">中、東南亞市場對折扣敏感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歐美對「在地體驗價值」敏感。</t>
    </r>
  </si>
  <si>
    <t xml:space="preserve">市場差異</t>
  </si>
  <si>
    <r>
      <rPr>
        <sz val="10"/>
        <rFont val="Noto Sans CJK SC"/>
        <family val="2"/>
      </rPr>
      <t xml:space="preserve">旅マエ — 重視點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市場</t>
    </r>
  </si>
  <si>
    <t xml:space="preserve">促銷策略差異化</t>
  </si>
  <si>
    <r>
      <rPr>
        <sz val="10"/>
        <rFont val="Noto Sans CJK SC"/>
        <family val="2"/>
      </rPr>
      <t xml:space="preserve">市場差異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業態意涵</t>
    </r>
  </si>
  <si>
    <t xml:space="preserve">Q57</t>
  </si>
  <si>
    <r>
      <rPr>
        <sz val="10"/>
        <rFont val="Noto Sans CJK SC"/>
        <family val="2"/>
      </rPr>
      <t xml:space="preserve">套票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組合方案對哪類業態最有效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</si>
  <si>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セットメニューが効く業態は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</si>
  <si>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套餐對哪些店有用</t>
    </r>
    <r>
      <rPr>
        <sz val="10"/>
        <rFont val="Arial"/>
        <family val="0"/>
        <charset val="1"/>
      </rPr>
      <t xml:space="preserve">?</t>
    </r>
  </si>
  <si>
    <t xml:space="preserve">Bundle deals effective for?</t>
  </si>
  <si>
    <r>
      <rPr>
        <sz val="10"/>
        <rFont val="Noto Sans CJK SC"/>
        <family val="2"/>
      </rPr>
      <t xml:space="preserve">體驗類、觀光行程類為主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餐飲套餐受「在地決定」特性影響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效果有限。</t>
    </r>
  </si>
  <si>
    <r>
      <rPr>
        <sz val="10"/>
        <rFont val="Noto Sans CJK SC"/>
        <family val="2"/>
      </rPr>
      <t xml:space="preserve">業態差異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邏輯</t>
    </r>
  </si>
  <si>
    <t xml:space="preserve">套餐策略判斷</t>
  </si>
  <si>
    <r>
      <rPr>
        <sz val="10"/>
        <rFont val="Noto Sans CJK SC"/>
        <family val="2"/>
      </rPr>
      <t xml:space="preserve">業態差異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邏輯支撐</t>
    </r>
  </si>
  <si>
    <t xml:space="preserve">Q58</t>
  </si>
  <si>
    <r>
      <rPr>
        <sz val="10"/>
        <rFont val="Noto Sans CJK SC"/>
        <family val="2"/>
      </rPr>
      <t xml:space="preserve">免稅對哪些業態必要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</si>
  <si>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免税対応、必要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</si>
  <si>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免稅辦理必要嗎</t>
    </r>
    <r>
      <rPr>
        <sz val="10"/>
        <rFont val="Arial"/>
        <family val="0"/>
        <charset val="1"/>
      </rPr>
      <t xml:space="preserve">?</t>
    </r>
  </si>
  <si>
    <t xml:space="preserve">Tax-free necessary?</t>
  </si>
  <si>
    <t xml:space="preserve">零售類必要、餐飲類非適用、體驗類視單價。結合客單價門檻判斷。</t>
  </si>
  <si>
    <t xml:space="preserve">業態差異</t>
  </si>
  <si>
    <t xml:space="preserve">消費調查 — 品類</t>
  </si>
  <si>
    <t xml:space="preserve">免稅成本效益</t>
  </si>
  <si>
    <r>
      <rPr>
        <sz val="10"/>
        <rFont val="Noto Sans CJK SC"/>
        <family val="2"/>
      </rPr>
      <t xml:space="preserve">業態差異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門檻</t>
    </r>
  </si>
  <si>
    <t xml:space="preserve">Q59</t>
  </si>
  <si>
    <r>
      <rPr>
        <sz val="10"/>
        <rFont val="Noto Sans CJK SC"/>
        <family val="2"/>
      </rPr>
      <t xml:space="preserve">大阪外國旅客現金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電子支付比例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</si>
  <si>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キャッシュレス対応、必須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</si>
  <si>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需要支援電子支付嗎</t>
    </r>
    <r>
      <rPr>
        <sz val="10"/>
        <rFont val="Arial"/>
        <family val="0"/>
        <charset val="1"/>
      </rPr>
      <t xml:space="preserve">?</t>
    </r>
  </si>
  <si>
    <t xml:space="preserve">Cash vs cashless ratio?</t>
  </si>
  <si>
    <r>
      <rPr>
        <sz val="10"/>
        <rFont val="Noto Sans CJK SC"/>
        <family val="2"/>
      </rPr>
      <t xml:space="preserve">中國市場高</t>
    </r>
    <r>
      <rPr>
        <sz val="10"/>
        <rFont val="Arial"/>
        <family val="0"/>
        <charset val="1"/>
      </rPr>
      <t xml:space="preserve">(Alipay/WeChat Pay)</t>
    </r>
    <r>
      <rPr>
        <sz val="10"/>
        <rFont val="Noto Sans CJK SC"/>
        <family val="2"/>
      </rPr>
      <t xml:space="preserve">、歐美卡片為主、東南亞混合。</t>
    </r>
  </si>
  <si>
    <t xml:space="preserve">消費調查 — 支付</t>
  </si>
  <si>
    <t xml:space="preserve">支付通路投資</t>
  </si>
  <si>
    <r>
      <rPr>
        <sz val="10"/>
        <rFont val="Noto Sans CJK SC"/>
        <family val="2"/>
      </rPr>
      <t xml:space="preserve">市場差異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通路建議</t>
    </r>
  </si>
  <si>
    <t xml:space="preserve">Q60</t>
  </si>
  <si>
    <r>
      <rPr>
        <sz val="10"/>
        <rFont val="Noto Sans CJK SC"/>
        <family val="2"/>
      </rPr>
      <t xml:space="preserve">淡旺季客單價差異多大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</si>
  <si>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シーズン別の客単価差は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</si>
  <si>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淡旺季價差</t>
    </r>
    <r>
      <rPr>
        <sz val="10"/>
        <rFont val="Arial"/>
        <family val="0"/>
        <charset val="1"/>
      </rPr>
      <t xml:space="preserve">?</t>
    </r>
  </si>
  <si>
    <t xml:space="preserve">Seasonal price gap?</t>
  </si>
  <si>
    <t xml:space="preserve">旺季客單略升但量大為主、淡季可推「深度體驗高客單」策略。</t>
  </si>
  <si>
    <r>
      <rPr>
        <sz val="10"/>
        <rFont val="Noto Sans CJK SC"/>
        <family val="2"/>
      </rPr>
      <t xml:space="preserve">差異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雙策略</t>
    </r>
  </si>
  <si>
    <t xml:space="preserve">出口調查 — 季別</t>
  </si>
  <si>
    <t xml:space="preserve">季節定價策略</t>
  </si>
  <si>
    <t xml:space="preserve">Q61</t>
  </si>
  <si>
    <t xml:space="preserve">營運服務</t>
  </si>
  <si>
    <r>
      <rPr>
        <sz val="10"/>
        <rFont val="Noto Sans CJK SC"/>
        <family val="2"/>
      </rPr>
      <t xml:space="preserve">旅客抱怨外語不足是不是真痛點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</si>
  <si>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外国語対応、本当に求められてる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</si>
  <si>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外語真的是大問題嗎</t>
    </r>
    <r>
      <rPr>
        <sz val="10"/>
        <rFont val="Arial"/>
        <family val="0"/>
        <charset val="1"/>
      </rPr>
      <t xml:space="preserve">?</t>
    </r>
  </si>
  <si>
    <t xml:space="preserve">Is language really a pain point?</t>
  </si>
  <si>
    <r>
      <rPr>
        <sz val="10"/>
        <rFont val="Noto Sans CJK SC"/>
        <family val="2"/>
      </rPr>
      <t xml:space="preserve">語言對應重視度 </t>
    </r>
    <r>
      <rPr>
        <sz val="10"/>
        <rFont val="Arial"/>
        <family val="0"/>
        <charset val="1"/>
      </rPr>
      <t xml:space="preserve">3.87(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中等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。抱怨率因區而異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重要但非第一。</t>
    </r>
  </si>
  <si>
    <t xml:space="preserve">實數定位、不誇大</t>
  </si>
  <si>
    <r>
      <rPr>
        <sz val="10"/>
        <rFont val="Noto Sans CJK SC"/>
        <family val="2"/>
      </rPr>
      <t xml:space="preserve">旅マエ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觀光地點參數</t>
    </r>
  </si>
  <si>
    <t xml:space="preserve">外語投資判斷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</si>
  <si>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定位</t>
    </r>
  </si>
  <si>
    <t xml:space="preserve">Q62</t>
  </si>
  <si>
    <r>
      <rPr>
        <sz val="10"/>
        <rFont val="Noto Sans CJK SC"/>
        <family val="2"/>
      </rPr>
      <t xml:space="preserve">哪些服務細節會顯著提升滿意度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</si>
  <si>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満足度を上げる細部は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</si>
  <si>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什麼細節能拉高滿意度</t>
    </r>
    <r>
      <rPr>
        <sz val="10"/>
        <rFont val="Arial"/>
        <family val="0"/>
        <charset val="1"/>
      </rPr>
      <t xml:space="preserve">?</t>
    </r>
  </si>
  <si>
    <t xml:space="preserve">Detail-level satisfaction drivers?</t>
  </si>
  <si>
    <r>
      <rPr>
        <sz val="10"/>
        <rFont val="Noto Sans CJK SC"/>
        <family val="2"/>
      </rPr>
      <t xml:space="preserve">整潔、休息空間、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、信賴度。從抱怨項反推、給可執行細節。</t>
    </r>
  </si>
  <si>
    <t xml:space="preserve">從抱怨反推、可執行</t>
  </si>
  <si>
    <t xml:space="preserve">觀光地點參數 — 滿意度</t>
  </si>
  <si>
    <t xml:space="preserve">服務設計優先</t>
  </si>
  <si>
    <r>
      <rPr>
        <sz val="10"/>
        <rFont val="Noto Sans CJK SC"/>
        <family val="2"/>
      </rPr>
      <t xml:space="preserve">從抱怨反推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執行細節</t>
    </r>
  </si>
  <si>
    <t xml:space="preserve">Q63</t>
  </si>
  <si>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與充電對旅客重要嗎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</si>
  <si>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完備、必要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</si>
  <si>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一定要嗎</t>
    </r>
    <r>
      <rPr>
        <sz val="10"/>
        <rFont val="Arial"/>
        <family val="0"/>
        <charset val="1"/>
      </rPr>
      <t xml:space="preserve">?</t>
    </r>
  </si>
  <si>
    <t xml:space="preserve">Wi-Fi &amp; charging necessity?</t>
  </si>
  <si>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屬「不做扣分、做了不一定加分」型基礎服務。</t>
    </r>
  </si>
  <si>
    <t xml:space="preserve">定位基礎門檻</t>
  </si>
  <si>
    <t xml:space="preserve">旅客滿意度抱怨項</t>
  </si>
  <si>
    <t xml:space="preserve">基礎投資判斷</t>
  </si>
  <si>
    <r>
      <rPr>
        <sz val="10"/>
        <rFont val="Noto Sans CJK SC"/>
        <family val="2"/>
      </rPr>
      <t xml:space="preserve">定位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避免過度投資</t>
    </r>
  </si>
  <si>
    <t xml:space="preserve">Q64</t>
  </si>
  <si>
    <r>
      <rPr>
        <sz val="10"/>
        <rFont val="Noto Sans CJK SC"/>
        <family val="2"/>
      </rPr>
      <t xml:space="preserve">旅客抱怨擁擠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業者怎麼回應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</si>
  <si>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混雑問題、業者として対策は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</si>
  <si>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怎麼處理擁擠問題</t>
    </r>
    <r>
      <rPr>
        <sz val="10"/>
        <rFont val="Arial"/>
        <family val="0"/>
        <charset val="1"/>
      </rPr>
      <t xml:space="preserve">?</t>
    </r>
  </si>
  <si>
    <t xml:space="preserve">How to respond to crowding complaints?</t>
  </si>
  <si>
    <t xml:space="preserve">預約制、時段差別定價、稍離主動線選址、外帶分流。</t>
  </si>
  <si>
    <t xml:space="preserve">多策略選項</t>
  </si>
  <si>
    <t xml:space="preserve">觀光地點參數 — 課題</t>
  </si>
  <si>
    <t xml:space="preserve">擁擠應對策略</t>
  </si>
  <si>
    <r>
      <rPr>
        <sz val="10"/>
        <rFont val="Noto Sans CJK SC"/>
        <family val="2"/>
      </rPr>
      <t xml:space="preserve">多策略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依業態</t>
    </r>
  </si>
  <si>
    <t xml:space="preserve">Q65</t>
  </si>
  <si>
    <r>
      <rPr>
        <sz val="10"/>
        <rFont val="Noto Sans CJK SC"/>
        <family val="2"/>
      </rPr>
      <t xml:space="preserve">親子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嬰幼兒服務需求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</si>
  <si>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子連れ対応、ニーズは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</si>
  <si>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親子服務要做什麼</t>
    </r>
    <r>
      <rPr>
        <sz val="10"/>
        <rFont val="Arial"/>
        <family val="0"/>
        <charset val="1"/>
      </rPr>
      <t xml:space="preserve">?</t>
    </r>
  </si>
  <si>
    <t xml:space="preserve">Family/infant service needs?</t>
  </si>
  <si>
    <r>
      <rPr>
        <sz val="10"/>
        <rFont val="Noto Sans CJK SC"/>
        <family val="2"/>
      </rPr>
      <t xml:space="preserve">家族客 </t>
    </r>
    <r>
      <rPr>
        <sz val="10"/>
        <rFont val="Arial"/>
        <family val="0"/>
        <charset val="1"/>
      </rPr>
      <t xml:space="preserve">28.7%(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、東南亞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韓家庭多。需嬰兒座椅、兒童菜單、推車友善。</t>
    </r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</si>
  <si>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需求清單</t>
    </r>
  </si>
  <si>
    <t xml:space="preserve">旅マエ — 同行者</t>
  </si>
  <si>
    <t xml:space="preserve">親子服務設計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</si>
  <si>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項目清單</t>
    </r>
  </si>
  <si>
    <t xml:space="preserve">Q66</t>
  </si>
  <si>
    <r>
      <rPr>
        <sz val="10"/>
        <rFont val="Noto Sans CJK SC"/>
        <family val="2"/>
      </rPr>
      <t xml:space="preserve">無障礙設施需求量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</si>
  <si>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バリアフリーニーズは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</si>
  <si>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無障礙重要嗎</t>
    </r>
    <r>
      <rPr>
        <sz val="10"/>
        <rFont val="Arial"/>
        <family val="0"/>
        <charset val="1"/>
      </rPr>
      <t xml:space="preserve">?</t>
    </r>
  </si>
  <si>
    <t xml:space="preserve">Accessibility demand?</t>
  </si>
  <si>
    <r>
      <rPr>
        <sz val="10"/>
        <rFont val="Arial"/>
        <family val="0"/>
        <charset val="1"/>
      </rPr>
      <t xml:space="preserve">55+ </t>
    </r>
    <r>
      <rPr>
        <sz val="10"/>
        <rFont val="Noto Sans CJK SC"/>
        <family val="2"/>
      </rPr>
      <t xml:space="preserve">歲合計 </t>
    </r>
    <r>
      <rPr>
        <sz val="10"/>
        <rFont val="Arial"/>
        <family val="0"/>
        <charset val="1"/>
      </rPr>
      <t xml:space="preserve">13.5%(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、隨銀髮旅遊成長。無障礙為必要投資。</t>
    </r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</si>
  <si>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趨勢</t>
    </r>
  </si>
  <si>
    <t xml:space="preserve">旅マエ — 年齡</t>
  </si>
  <si>
    <t xml:space="preserve">無障礙投資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</si>
  <si>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趨勢解讀</t>
    </r>
  </si>
  <si>
    <t xml:space="preserve">Q67</t>
  </si>
  <si>
    <r>
      <rPr>
        <sz val="10"/>
        <rFont val="Noto Sans CJK SC"/>
        <family val="2"/>
      </rPr>
      <t xml:space="preserve">員工外語能力最低要求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</si>
  <si>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スタッフの外国語、最低限は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</si>
  <si>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員工要會什麼語言</t>
    </r>
    <r>
      <rPr>
        <sz val="10"/>
        <rFont val="Arial"/>
        <family val="0"/>
        <charset val="1"/>
      </rPr>
      <t xml:space="preserve">?</t>
    </r>
  </si>
  <si>
    <t xml:space="preserve">Staff language minimum?</t>
  </si>
  <si>
    <r>
      <rPr>
        <sz val="10"/>
        <rFont val="Noto Sans CJK SC"/>
        <family val="2"/>
      </rPr>
      <t xml:space="preserve">依目標客群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中文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韓中市場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、英文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歐美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東南亞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為基本。語言重視 </t>
    </r>
    <r>
      <rPr>
        <sz val="10"/>
        <rFont val="Arial"/>
        <family val="0"/>
        <charset val="1"/>
      </rPr>
      <t xml:space="preserve">3.87 </t>
    </r>
    <r>
      <rPr>
        <sz val="10"/>
        <rFont val="Noto Sans CJK SC"/>
        <family val="2"/>
      </rPr>
      <t xml:space="preserve">中等。</t>
    </r>
  </si>
  <si>
    <r>
      <rPr>
        <sz val="10"/>
        <rFont val="Noto Sans CJK SC"/>
        <family val="2"/>
      </rPr>
      <t xml:space="preserve">市場優先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避免過度</t>
    </r>
  </si>
  <si>
    <r>
      <rPr>
        <sz val="10"/>
        <rFont val="Noto Sans CJK SC"/>
        <family val="2"/>
      </rPr>
      <t xml:space="preserve">旅マエ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客源構成</t>
    </r>
  </si>
  <si>
    <t xml:space="preserve">人力投資</t>
  </si>
  <si>
    <t xml:space="preserve">Q68</t>
  </si>
  <si>
    <r>
      <rPr>
        <sz val="10"/>
        <rFont val="Noto Sans CJK SC"/>
        <family val="2"/>
      </rPr>
      <t xml:space="preserve">旅客投訴最常抱怨什麼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</si>
  <si>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クレーム理由トップは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</si>
  <si>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客訴主要抱怨什麼</t>
    </r>
    <r>
      <rPr>
        <sz val="10"/>
        <rFont val="Arial"/>
        <family val="0"/>
        <charset val="1"/>
      </rPr>
      <t xml:space="preserve">?</t>
    </r>
  </si>
  <si>
    <t xml:space="preserve">Top complaints?</t>
  </si>
  <si>
    <t xml:space="preserve">擁擠、語言、價格不透明、衛生、服務態度。</t>
  </si>
  <si>
    <t xml:space="preserve">抱怨排行</t>
  </si>
  <si>
    <t xml:space="preserve">預防客訴清單</t>
  </si>
  <si>
    <r>
      <rPr>
        <sz val="10"/>
        <rFont val="Noto Sans CJK SC"/>
        <family val="2"/>
      </rPr>
      <t xml:space="preserve">排行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預防建議</t>
    </r>
  </si>
  <si>
    <t xml:space="preserve">Q69</t>
  </si>
  <si>
    <r>
      <rPr>
        <sz val="10"/>
        <rFont val="Noto Sans CJK SC"/>
        <family val="2"/>
      </rPr>
      <t xml:space="preserve">旅客回購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再訪率多少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</si>
  <si>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リピート率は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</si>
  <si>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回頭率多高</t>
    </r>
    <r>
      <rPr>
        <sz val="10"/>
        <rFont val="Arial"/>
        <family val="0"/>
        <charset val="1"/>
      </rPr>
      <t xml:space="preserve">?</t>
    </r>
  </si>
  <si>
    <t xml:space="preserve">Repeat/return rate?</t>
  </si>
  <si>
    <r>
      <rPr>
        <sz val="10"/>
        <rFont val="Noto Sans CJK SC"/>
        <family val="2"/>
      </rPr>
      <t xml:space="preserve">整體大阪重訪率約 </t>
    </r>
    <r>
      <rPr>
        <sz val="10"/>
        <rFont val="Arial"/>
        <family val="0"/>
        <charset val="1"/>
      </rPr>
      <t xml:space="preserve">50-60%(</t>
    </r>
    <r>
      <rPr>
        <sz val="10"/>
        <rFont val="Noto Sans CJK SC"/>
        <family val="2"/>
      </rPr>
      <t xml:space="preserve">出口調查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。個店回購率需自行追蹤。</t>
    </r>
  </si>
  <si>
    <r>
      <rPr>
        <sz val="10"/>
        <rFont val="Noto Sans CJK SC"/>
        <family val="2"/>
      </rPr>
      <t xml:space="preserve">區分大阪重訪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個店回購</t>
    </r>
  </si>
  <si>
    <t xml:space="preserve">出口調查 — 重訪率</t>
  </si>
  <si>
    <t xml:space="preserve">回購策略</t>
  </si>
  <si>
    <r>
      <rPr>
        <sz val="10"/>
        <rFont val="Noto Sans CJK SC"/>
        <family val="2"/>
      </rPr>
      <t xml:space="preserve">區分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追蹤建議</t>
    </r>
  </si>
  <si>
    <t xml:space="preserve">Q70</t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</si>
  <si>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口碑網站要怎麼經營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</si>
  <si>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口コミ対策は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</si>
  <si>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口碑網站怎麼經營</t>
    </r>
    <r>
      <rPr>
        <sz val="10"/>
        <rFont val="Arial"/>
        <family val="0"/>
        <charset val="1"/>
      </rPr>
      <t xml:space="preserve">?</t>
    </r>
  </si>
  <si>
    <t xml:space="preserve">How to manage review sites?</t>
  </si>
  <si>
    <r>
      <rPr>
        <sz val="10"/>
        <rFont val="Noto Sans CJK SC"/>
        <family val="2"/>
      </rPr>
      <t xml:space="preserve">口碑網站 </t>
    </r>
    <r>
      <rPr>
        <sz val="10"/>
        <rFont val="Arial"/>
        <family val="0"/>
        <charset val="1"/>
      </rPr>
      <t xml:space="preserve">43.8% + </t>
    </r>
    <r>
      <rPr>
        <sz val="10"/>
        <rFont val="Noto Sans CJK SC"/>
        <family val="2"/>
      </rPr>
      <t xml:space="preserve">信賴度 </t>
    </r>
    <r>
      <rPr>
        <sz val="10"/>
        <rFont val="Arial"/>
        <family val="0"/>
        <charset val="1"/>
      </rPr>
      <t xml:space="preserve">4.08(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雙重支持。主動回覆評論、定期監測、處理負評為核心。</t>
    </r>
  </si>
  <si>
    <r>
      <rPr>
        <sz val="10"/>
        <rFont val="Noto Sans CJK SC"/>
        <family val="2"/>
      </rPr>
      <t xml:space="preserve">雙實數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可執行動作</t>
    </r>
  </si>
  <si>
    <r>
      <rPr>
        <sz val="10"/>
        <rFont val="Noto Sans CJK SC"/>
        <family val="2"/>
      </rPr>
      <t xml:space="preserve">旅マエ — 情報源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重視點</t>
    </r>
  </si>
  <si>
    <t xml:space="preserve">口碑經營手冊</t>
  </si>
  <si>
    <r>
      <rPr>
        <sz val="10"/>
        <rFont val="Noto Sans CJK SC"/>
        <family val="2"/>
      </rPr>
      <t xml:space="preserve">雙數據支持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可執行</t>
    </r>
  </si>
  <si>
    <t xml:space="preserve">Q71</t>
  </si>
  <si>
    <t xml:space="preserve">競合分析</t>
  </si>
  <si>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其他亞洲城市旅客「訪問意向」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</si>
  <si>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大阪と他のアジア都市、競争力は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</si>
  <si>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大阪在亞洲城市排名</t>
    </r>
    <r>
      <rPr>
        <sz val="10"/>
        <rFont val="Arial"/>
        <family val="0"/>
        <charset val="1"/>
      </rPr>
      <t xml:space="preserve">?</t>
    </r>
  </si>
  <si>
    <t xml:space="preserve">Osaka vs Asian cities competitiveness?</t>
  </si>
  <si>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6.27(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亞洲第 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僅次東京 </t>
    </r>
    <r>
      <rPr>
        <sz val="10"/>
        <rFont val="Arial"/>
        <family val="0"/>
        <charset val="1"/>
      </rPr>
      <t xml:space="preserve">6.69)</t>
    </r>
    <r>
      <rPr>
        <sz val="10"/>
        <rFont val="Noto Sans CJK SC"/>
        <family val="2"/>
      </rPr>
      <t xml:space="preserve">、領先首爾 </t>
    </r>
    <r>
      <rPr>
        <sz val="10"/>
        <rFont val="Arial"/>
        <family val="0"/>
        <charset val="1"/>
      </rPr>
      <t xml:space="preserve">6.16</t>
    </r>
    <r>
      <rPr>
        <sz val="10"/>
        <rFont val="Noto Sans CJK SC"/>
        <family val="2"/>
      </rPr>
      <t xml:space="preserve">、曼谷 </t>
    </r>
    <r>
      <rPr>
        <sz val="10"/>
        <rFont val="Arial"/>
        <family val="0"/>
        <charset val="1"/>
      </rPr>
      <t xml:space="preserve">6.12</t>
    </r>
    <r>
      <rPr>
        <sz val="10"/>
        <rFont val="Noto Sans CJK SC"/>
        <family val="2"/>
      </rPr>
      <t xml:space="preserve">、香港 </t>
    </r>
    <r>
      <rPr>
        <sz val="10"/>
        <rFont val="Arial"/>
        <family val="0"/>
        <charset val="1"/>
      </rPr>
      <t xml:space="preserve">5.99</t>
    </r>
    <r>
      <rPr>
        <sz val="10"/>
        <rFont val="Noto Sans CJK SC"/>
        <family val="2"/>
      </rPr>
      <t xml:space="preserve">、台北 </t>
    </r>
    <r>
      <rPr>
        <sz val="10"/>
        <rFont val="Arial"/>
        <family val="0"/>
        <charset val="1"/>
      </rPr>
      <t xml:space="preserve">5.83</t>
    </r>
    <r>
      <rPr>
        <sz val="10"/>
        <rFont val="Noto Sans CJK SC"/>
        <family val="2"/>
      </rPr>
      <t xml:space="preserve">。</t>
    </r>
  </si>
  <si>
    <t xml:space="preserve">亞洲區內排名實數</t>
  </si>
  <si>
    <t xml:space="preserve">旅マエ — 訪問意向</t>
  </si>
  <si>
    <t xml:space="preserve">大阪定位</t>
  </si>
  <si>
    <r>
      <rPr>
        <sz val="10"/>
        <rFont val="Noto Sans CJK SC"/>
        <family val="2"/>
      </rPr>
      <t xml:space="preserve">實數排名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亞洲定位</t>
    </r>
  </si>
  <si>
    <t xml:space="preserve">Q72</t>
  </si>
  <si>
    <r>
      <rPr>
        <sz val="10"/>
        <rFont val="Noto Sans CJK SC"/>
        <family val="2"/>
      </rPr>
      <t xml:space="preserve">哪些城市跟大阪客群重疊度最高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</si>
  <si>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直接競合都市は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</si>
  <si>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誰跟大阪搶客</t>
    </r>
    <r>
      <rPr>
        <sz val="10"/>
        <rFont val="Arial"/>
        <family val="0"/>
        <charset val="1"/>
      </rPr>
      <t xml:space="preserve">?</t>
    </r>
  </si>
  <si>
    <t xml:space="preserve">Most overlapping competitor cities?</t>
  </si>
  <si>
    <r>
      <rPr>
        <sz val="10"/>
        <rFont val="Noto Sans CJK SC"/>
        <family val="2"/>
      </rPr>
      <t xml:space="preserve">亞洲區內首爾、曼谷、香港、台北為主競爭圈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歐洲區內較遠。</t>
    </r>
  </si>
  <si>
    <r>
      <rPr>
        <sz val="10"/>
        <rFont val="Noto Sans CJK SC"/>
        <family val="2"/>
      </rPr>
      <t xml:space="preserve">競爭圈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差異化</t>
    </r>
  </si>
  <si>
    <r>
      <rPr>
        <sz val="10"/>
        <rFont val="Noto Sans CJK SC"/>
        <family val="2"/>
      </rPr>
      <t xml:space="preserve">旅マエ — 認知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意向</t>
    </r>
  </si>
  <si>
    <t xml:space="preserve">差異化方向</t>
  </si>
  <si>
    <r>
      <rPr>
        <sz val="10"/>
        <rFont val="Noto Sans CJK SC"/>
        <family val="2"/>
      </rPr>
      <t xml:space="preserve">競爭圈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差異化建議</t>
    </r>
  </si>
  <si>
    <t xml:space="preserve">Q73</t>
  </si>
  <si>
    <r>
      <rPr>
        <sz val="10"/>
        <rFont val="Noto Sans CJK SC"/>
        <family val="2"/>
      </rPr>
      <t xml:space="preserve">大阪比其他亞洲城市優勢項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</si>
  <si>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大阪の強みは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</si>
  <si>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大阪贏在哪</t>
    </r>
    <r>
      <rPr>
        <sz val="10"/>
        <rFont val="Arial"/>
        <family val="0"/>
        <charset val="1"/>
      </rPr>
      <t xml:space="preserve">?</t>
    </r>
  </si>
  <si>
    <t xml:space="preserve">Osaka's competitive strengths?</t>
  </si>
  <si>
    <r>
      <rPr>
        <sz val="10"/>
        <rFont val="Noto Sans CJK SC"/>
        <family val="2"/>
      </rPr>
      <t xml:space="preserve">在地飲食、歷史文化、世界知名地點分數高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加 </t>
    </r>
    <r>
      <rPr>
        <sz val="10"/>
        <rFont val="Arial"/>
        <family val="0"/>
        <charset val="1"/>
      </rPr>
      <t xml:space="preserve">USJ </t>
    </r>
    <r>
      <rPr>
        <sz val="10"/>
        <rFont val="Noto Sans CJK SC"/>
        <family val="2"/>
      </rPr>
      <t xml:space="preserve">與大阪城地標。美食</t>
    </r>
    <r>
      <rPr>
        <sz val="10"/>
        <rFont val="Arial"/>
        <family val="0"/>
        <charset val="1"/>
      </rPr>
      <t xml:space="preserve">+IP </t>
    </r>
    <r>
      <rPr>
        <sz val="10"/>
        <rFont val="Noto Sans CJK SC"/>
        <family val="2"/>
      </rPr>
      <t xml:space="preserve">為核心優勢。</t>
    </r>
  </si>
  <si>
    <r>
      <rPr>
        <sz val="10"/>
        <rFont val="Arial"/>
        <family val="0"/>
        <charset val="1"/>
      </rPr>
      <t xml:space="preserve">2-3 </t>
    </r>
    <r>
      <rPr>
        <sz val="10"/>
        <rFont val="Noto Sans CJK SC"/>
        <family val="2"/>
      </rPr>
      <t xml:space="preserve">優勢項</t>
    </r>
  </si>
  <si>
    <t xml:space="preserve">旅マエ — 城市屬性</t>
  </si>
  <si>
    <t xml:space="preserve">業者借力</t>
  </si>
  <si>
    <r>
      <rPr>
        <sz val="10"/>
        <rFont val="Noto Sans CJK SC"/>
        <family val="2"/>
      </rPr>
      <t xml:space="preserve">優勢項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借力建議</t>
    </r>
  </si>
  <si>
    <t xml:space="preserve">Q74</t>
  </si>
  <si>
    <r>
      <rPr>
        <sz val="10"/>
        <rFont val="Noto Sans CJK SC"/>
        <family val="2"/>
      </rPr>
      <t xml:space="preserve">大阪相對弱項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</si>
  <si>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大阪の弱みは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</si>
  <si>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大阪輸在哪</t>
    </r>
    <r>
      <rPr>
        <sz val="10"/>
        <rFont val="Arial"/>
        <family val="0"/>
        <charset val="1"/>
      </rPr>
      <t xml:space="preserve">?</t>
    </r>
  </si>
  <si>
    <t xml:space="preserve">Osaka's weaknesses?</t>
  </si>
  <si>
    <t xml:space="preserve">從旅客評分相對低項看。注意「弱項即機會」。</t>
  </si>
  <si>
    <r>
      <rPr>
        <sz val="10"/>
        <rFont val="Noto Sans CJK SC"/>
        <family val="2"/>
      </rPr>
      <t xml:space="preserve">弱項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翻轉機會</t>
    </r>
  </si>
  <si>
    <t xml:space="preserve">新進業者切入點</t>
  </si>
  <si>
    <r>
      <rPr>
        <sz val="10"/>
        <rFont val="Noto Sans CJK SC"/>
        <family val="2"/>
      </rPr>
      <t xml:space="preserve">弱項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翻轉解讀</t>
    </r>
  </si>
  <si>
    <t xml:space="preserve">Q75</t>
  </si>
  <si>
    <r>
      <rPr>
        <sz val="10"/>
        <rFont val="Noto Sans CJK SC"/>
        <family val="2"/>
      </rPr>
      <t xml:space="preserve">大阪同業競爭最激烈業態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</si>
  <si>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最も競合が激しい業態は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</si>
  <si>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哪些業態最紅海</t>
    </r>
    <r>
      <rPr>
        <sz val="10"/>
        <rFont val="Arial"/>
        <family val="0"/>
        <charset val="1"/>
      </rPr>
      <t xml:space="preserve">?</t>
    </r>
  </si>
  <si>
    <t xml:space="preserve">Most saturated business types?</t>
  </si>
  <si>
    <t xml:space="preserve">章魚燒、お好み焼き、拉麵、藥妝為紅海。進場前需明確差異化。</t>
  </si>
  <si>
    <r>
      <rPr>
        <sz val="10"/>
        <rFont val="Noto Sans CJK SC"/>
        <family val="2"/>
      </rPr>
      <t xml:space="preserve">紅海清單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差異化</t>
    </r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</si>
  <si>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間接</t>
    </r>
  </si>
  <si>
    <t xml:space="preserve">業態避雷</t>
  </si>
  <si>
    <r>
      <rPr>
        <sz val="10"/>
        <rFont val="Noto Sans CJK SC"/>
        <family val="2"/>
      </rPr>
      <t xml:space="preserve">業態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差異化提醒</t>
    </r>
  </si>
  <si>
    <t xml:space="preserve">Q76</t>
  </si>
  <si>
    <r>
      <rPr>
        <sz val="10"/>
        <rFont val="Noto Sans CJK SC"/>
        <family val="2"/>
      </rPr>
      <t xml:space="preserve">哪些業態在大阪相對稀缺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</si>
  <si>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逆に少ない業態は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</si>
  <si>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什麼業態還少</t>
    </r>
    <r>
      <rPr>
        <sz val="10"/>
        <rFont val="Arial"/>
        <family val="0"/>
        <charset val="1"/>
      </rPr>
      <t xml:space="preserve">?</t>
    </r>
  </si>
  <si>
    <t xml:space="preserve">Underrepresented business types?</t>
  </si>
  <si>
    <r>
      <rPr>
        <sz val="10"/>
        <rFont val="Noto Sans CJK SC"/>
        <family val="2"/>
      </rPr>
      <t xml:space="preserve">外國人友善高級茶屋、清真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素食對應、親子餐廳、特色甜點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非伴手禮型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</si>
  <si>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從抱怨找空白</t>
  </si>
  <si>
    <t xml:space="preserve">藍海業態</t>
  </si>
  <si>
    <r>
      <rPr>
        <sz val="10"/>
        <rFont val="Noto Sans CJK SC"/>
        <family val="2"/>
      </rPr>
      <t xml:space="preserve">抱怨找空白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業態建議</t>
    </r>
  </si>
  <si>
    <t xml:space="preserve">Q77</t>
  </si>
  <si>
    <r>
      <rPr>
        <sz val="10"/>
        <rFont val="Noto Sans CJK SC"/>
        <family val="2"/>
      </rPr>
      <t xml:space="preserve">新進業者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老店優劣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</si>
  <si>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新規店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老舗、勝算は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</si>
  <si>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新店打得贏老店嗎</t>
    </r>
    <r>
      <rPr>
        <sz val="10"/>
        <rFont val="Arial"/>
        <family val="0"/>
        <charset val="1"/>
      </rPr>
      <t xml:space="preserve">?</t>
    </r>
  </si>
  <si>
    <t xml:space="preserve">Newcomer vs established players?</t>
  </si>
  <si>
    <r>
      <rPr>
        <sz val="10"/>
        <rFont val="Noto Sans CJK SC"/>
        <family val="2"/>
      </rPr>
      <t xml:space="preserve">老店有信賴度先機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新進店優勢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外國人友善設計、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適配、數據驅動選址。</t>
    </r>
  </si>
  <si>
    <t xml:space="preserve">雙方優劣</t>
  </si>
  <si>
    <t xml:space="preserve">綜合解讀</t>
  </si>
  <si>
    <t xml:space="preserve">新進策略</t>
  </si>
  <si>
    <r>
      <rPr>
        <sz val="10"/>
        <rFont val="Noto Sans CJK SC"/>
        <family val="2"/>
      </rPr>
      <t xml:space="preserve">雙方優劣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新進策略</t>
    </r>
  </si>
  <si>
    <t xml:space="preserve">Q78</t>
  </si>
  <si>
    <r>
      <rPr>
        <sz val="10"/>
        <rFont val="Noto Sans CJK SC"/>
        <family val="2"/>
      </rPr>
      <t xml:space="preserve">大阪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京都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業者選擇邏輯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</si>
  <si>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大阪と京都、どちらで開業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</si>
  <si>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選大阪還是京都</t>
    </r>
    <r>
      <rPr>
        <sz val="10"/>
        <rFont val="Arial"/>
        <family val="0"/>
        <charset val="1"/>
      </rPr>
      <t xml:space="preserve">?</t>
    </r>
  </si>
  <si>
    <t xml:space="preserve">Osaka vs Kyoto for new shop?</t>
  </si>
  <si>
    <r>
      <rPr>
        <sz val="10"/>
        <rFont val="Noto Sans CJK SC"/>
        <family val="2"/>
      </rPr>
      <t xml:space="preserve">京都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文化體驗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高客單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法規嚴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大阪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量大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多元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商務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法規寬。依業態。</t>
    </r>
  </si>
  <si>
    <t xml:space="preserve">兩城對比</t>
  </si>
  <si>
    <r>
      <rPr>
        <sz val="10"/>
        <rFont val="Noto Sans CJK SC"/>
        <family val="2"/>
      </rPr>
      <t xml:space="preserve">綜合 </t>
    </r>
    <r>
      <rPr>
        <sz val="10"/>
        <rFont val="Arial"/>
        <family val="0"/>
        <charset val="1"/>
      </rPr>
      <t xml:space="preserve">datahub+</t>
    </r>
    <r>
      <rPr>
        <sz val="10"/>
        <rFont val="Noto Sans CJK SC"/>
        <family val="2"/>
      </rPr>
      <t xml:space="preserve">公開</t>
    </r>
  </si>
  <si>
    <t xml:space="preserve">兩城抉擇</t>
  </si>
  <si>
    <r>
      <rPr>
        <sz val="10"/>
        <rFont val="Noto Sans CJK SC"/>
        <family val="2"/>
      </rPr>
      <t xml:space="preserve">對比清楚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依業態</t>
    </r>
  </si>
  <si>
    <t xml:space="preserve">Q79</t>
  </si>
  <si>
    <r>
      <rPr>
        <sz val="10"/>
        <rFont val="Noto Sans CJK SC"/>
        <family val="2"/>
      </rPr>
      <t xml:space="preserve">哪些品牌類別外國旅客最在意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</si>
  <si>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ブランド認知が大事な分野は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</si>
  <si>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品牌重要嗎</t>
    </r>
    <r>
      <rPr>
        <sz val="10"/>
        <rFont val="Arial"/>
        <family val="0"/>
        <charset val="1"/>
      </rPr>
      <t xml:space="preserve">?</t>
    </r>
  </si>
  <si>
    <t xml:space="preserve">Brand-conscious categories?</t>
  </si>
  <si>
    <r>
      <rPr>
        <sz val="10"/>
        <rFont val="Noto Sans CJK SC"/>
        <family val="2"/>
      </rPr>
      <t xml:space="preserve">信賴度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評價 </t>
    </r>
    <r>
      <rPr>
        <sz val="10"/>
        <rFont val="Arial"/>
        <family val="0"/>
        <charset val="1"/>
      </rPr>
      <t xml:space="preserve">4.08(</t>
    </r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為高重視。品牌型業態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連鎖、有名店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有信賴優勢。</t>
    </r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</si>
  <si>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品牌策略</t>
    </r>
  </si>
  <si>
    <t xml:space="preserve">旅マエ — 重視點</t>
  </si>
  <si>
    <t xml:space="preserve">品牌投資判斷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</si>
  <si>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策略意涵</t>
    </r>
  </si>
  <si>
    <t xml:space="preserve">Q80</t>
  </si>
  <si>
    <r>
      <rPr>
        <sz val="10"/>
        <rFont val="Noto Sans CJK SC"/>
        <family val="2"/>
      </rPr>
      <t xml:space="preserve">跨國日系品牌進大阪的特殊考量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</si>
  <si>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日本ブランドで海外展開した店、日本に戻す場合は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</si>
  <si>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回流品牌怎麼定位</t>
    </r>
    <r>
      <rPr>
        <sz val="10"/>
        <rFont val="Arial"/>
        <family val="0"/>
        <charset val="1"/>
      </rPr>
      <t xml:space="preserve">?</t>
    </r>
  </si>
  <si>
    <t xml:space="preserve">Returning Japanese brand considerations?</t>
  </si>
  <si>
    <r>
      <rPr>
        <sz val="10"/>
        <rFont val="Noto Sans CJK SC"/>
        <family val="2"/>
      </rPr>
      <t xml:space="preserve">回流業者需注意「日本本土旅客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外國旅客」差異化定位。</t>
    </r>
  </si>
  <si>
    <r>
      <rPr>
        <sz val="10"/>
        <rFont val="Noto Sans CJK SC"/>
        <family val="2"/>
      </rPr>
      <t xml:space="preserve">回流特性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策略</t>
    </r>
  </si>
  <si>
    <t xml:space="preserve">綜合</t>
  </si>
  <si>
    <t xml:space="preserve">回流業者策略</t>
  </si>
  <si>
    <r>
      <rPr>
        <sz val="10"/>
        <rFont val="Noto Sans CJK SC"/>
        <family val="2"/>
      </rPr>
      <t xml:space="preserve">特性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策略</t>
    </r>
  </si>
  <si>
    <t xml:space="preserve">Q81</t>
  </si>
  <si>
    <t xml:space="preserve">風險時機</t>
  </si>
  <si>
    <r>
      <rPr>
        <sz val="10"/>
        <rFont val="Noto Sans CJK SC"/>
        <family val="2"/>
      </rPr>
      <t xml:space="preserve">大阪外國旅客季節分布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</si>
  <si>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シーズナリティは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</si>
  <si>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什麼時候人最多</t>
    </r>
    <r>
      <rPr>
        <sz val="10"/>
        <rFont val="Arial"/>
        <family val="0"/>
        <charset val="1"/>
      </rPr>
      <t xml:space="preserve">?</t>
    </r>
  </si>
  <si>
    <t xml:space="preserve">Seasonality?</t>
  </si>
  <si>
    <r>
      <rPr>
        <sz val="10"/>
        <rFont val="Noto Sans CJK SC"/>
        <family val="2"/>
      </rPr>
      <t xml:space="preserve">櫻花 </t>
    </r>
    <r>
      <rPr>
        <sz val="10"/>
        <rFont val="Arial"/>
        <family val="0"/>
        <charset val="1"/>
      </rPr>
      <t xml:space="preserve">3-4 </t>
    </r>
    <r>
      <rPr>
        <sz val="10"/>
        <rFont val="Noto Sans CJK SC"/>
        <family val="2"/>
      </rPr>
      <t xml:space="preserve">月、紅葉 </t>
    </r>
    <r>
      <rPr>
        <sz val="10"/>
        <rFont val="Arial"/>
        <family val="0"/>
        <charset val="1"/>
      </rPr>
      <t xml:space="preserve">10-11 </t>
    </r>
    <r>
      <rPr>
        <sz val="10"/>
        <rFont val="Noto Sans CJK SC"/>
        <family val="2"/>
      </rPr>
      <t xml:space="preserve">月、聖誕新年高峰。</t>
    </r>
    <r>
      <rPr>
        <sz val="10"/>
        <rFont val="Arial"/>
        <family val="0"/>
        <charset val="1"/>
      </rPr>
      <t xml:space="preserve">6-7 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+9 </t>
    </r>
    <r>
      <rPr>
        <sz val="10"/>
        <rFont val="Noto Sans CJK SC"/>
        <family val="2"/>
      </rPr>
      <t xml:space="preserve">月為淡季。</t>
    </r>
  </si>
  <si>
    <r>
      <rPr>
        <sz val="10"/>
        <rFont val="Noto Sans CJK SC"/>
        <family val="2"/>
      </rPr>
      <t xml:space="preserve">高低峰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</si>
  <si>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出口調查 — 月別</t>
  </si>
  <si>
    <r>
      <rPr>
        <sz val="10"/>
        <rFont val="Noto Sans CJK SC"/>
        <family val="2"/>
      </rPr>
      <t xml:space="preserve">排班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採購規劃</t>
    </r>
  </si>
  <si>
    <t xml:space="preserve">Q82</t>
  </si>
  <si>
    <r>
      <rPr>
        <sz val="10"/>
        <rFont val="Noto Sans CJK SC"/>
        <family val="2"/>
      </rPr>
      <t xml:space="preserve">事件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活動對旅客流量影響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</si>
  <si>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万博・五輪的なイベントの影響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</si>
  <si>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大型活動的影響</t>
    </r>
    <r>
      <rPr>
        <sz val="10"/>
        <rFont val="Arial"/>
        <family val="0"/>
        <charset val="1"/>
      </rPr>
      <t xml:space="preserve">?</t>
    </r>
  </si>
  <si>
    <t xml:space="preserve">Event impact on tourist flow?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</si>
  <si>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大阪世博為近期最大事件。業者需區分「世博效應」與「長期常態」。</t>
    </r>
  </si>
  <si>
    <t xml:space="preserve">識別世博變數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</si>
  <si>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世博相關</t>
    </r>
  </si>
  <si>
    <t xml:space="preserve">活動紅利判斷</t>
  </si>
  <si>
    <r>
      <rPr>
        <sz val="10"/>
        <rFont val="Noto Sans CJK SC"/>
        <family val="2"/>
      </rPr>
      <t xml:space="preserve">識別變數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區分</t>
    </r>
  </si>
  <si>
    <t xml:space="preserve">Q83</t>
  </si>
  <si>
    <r>
      <rPr>
        <sz val="10"/>
        <rFont val="Noto Sans CJK SC"/>
        <family val="2"/>
      </rPr>
      <t xml:space="preserve">後世博</t>
    </r>
    <r>
      <rPr>
        <sz val="10"/>
        <rFont val="Arial"/>
        <family val="0"/>
        <charset val="1"/>
      </rPr>
      <t xml:space="preserve">(2026 </t>
    </r>
    <r>
      <rPr>
        <sz val="10"/>
        <rFont val="Noto Sans CJK SC"/>
        <family val="2"/>
      </rPr>
      <t xml:space="preserve">起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旅客流量會怎麼變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</si>
  <si>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万博後、観光客減る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</si>
  <si>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世博後會掉嗎</t>
    </r>
    <r>
      <rPr>
        <sz val="10"/>
        <rFont val="Arial"/>
        <family val="0"/>
        <charset val="1"/>
      </rPr>
      <t xml:space="preserve">?</t>
    </r>
  </si>
  <si>
    <t xml:space="preserve">Post-Expo tourist flow?</t>
  </si>
  <si>
    <r>
      <rPr>
        <sz val="10"/>
        <rFont val="Noto Sans CJK SC"/>
        <family val="2"/>
      </rPr>
      <t xml:space="preserve">預估短期回落、長期看 </t>
    </r>
    <r>
      <rPr>
        <sz val="10"/>
        <rFont val="Arial"/>
        <family val="0"/>
        <charset val="1"/>
      </rPr>
      <t xml:space="preserve">IR </t>
    </r>
    <r>
      <rPr>
        <sz val="10"/>
        <rFont val="Noto Sans CJK SC"/>
        <family val="2"/>
      </rPr>
      <t xml:space="preserve">開發、市場結構持續成長。不過度悲觀或樂觀。</t>
    </r>
  </si>
  <si>
    <t xml:space="preserve">結構性觀點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</si>
  <si>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趨勢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政策</t>
    </r>
  </si>
  <si>
    <t xml:space="preserve">進場時機判斷</t>
  </si>
  <si>
    <r>
      <rPr>
        <sz val="10"/>
        <rFont val="Noto Sans CJK SC"/>
        <family val="2"/>
      </rPr>
      <t xml:space="preserve">雙路徑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結構觀點</t>
    </r>
  </si>
  <si>
    <t xml:space="preserve">Q84</t>
  </si>
  <si>
    <r>
      <rPr>
        <sz val="10"/>
        <rFont val="Noto Sans CJK SC"/>
        <family val="2"/>
      </rPr>
      <t xml:space="preserve">匯率對旅客結構的影響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</si>
  <si>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円安・円高で何が変わる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</si>
  <si>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日圓貶值影響大嗎</t>
    </r>
    <r>
      <rPr>
        <sz val="10"/>
        <rFont val="Arial"/>
        <family val="0"/>
        <charset val="1"/>
      </rPr>
      <t xml:space="preserve">?</t>
    </r>
  </si>
  <si>
    <t xml:space="preserve">FX impact on tourist mix?</t>
  </si>
  <si>
    <r>
      <rPr>
        <sz val="10"/>
        <rFont val="Noto Sans CJK SC"/>
        <family val="2"/>
      </rPr>
      <t xml:space="preserve">円安期外國旅客增、消費活躍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客群結構可能向「預算敏感型」傾斜。</t>
    </r>
  </si>
  <si>
    <r>
      <rPr>
        <sz val="10"/>
        <rFont val="Noto Sans CJK SC"/>
        <family val="2"/>
      </rPr>
      <t xml:space="preserve">影響邏輯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業者意涵</t>
    </r>
  </si>
  <si>
    <t xml:space="preserve">匯率風險管理</t>
  </si>
  <si>
    <t xml:space="preserve">Q85</t>
  </si>
  <si>
    <r>
      <rPr>
        <sz val="10"/>
        <rFont val="Noto Sans CJK SC"/>
        <family val="2"/>
      </rPr>
      <t xml:space="preserve">地緣政治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疫情風險評估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</si>
  <si>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リスク管理、何を見るべき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</si>
  <si>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怎麼分散風險</t>
    </r>
    <r>
      <rPr>
        <sz val="10"/>
        <rFont val="Arial"/>
        <family val="0"/>
        <charset val="1"/>
      </rPr>
      <t xml:space="preserve">?</t>
    </r>
  </si>
  <si>
    <t xml:space="preserve">Geopolitical/pandemic risk?</t>
  </si>
  <si>
    <r>
      <rPr>
        <sz val="10"/>
        <rFont val="Noto Sans CJK SC"/>
        <family val="2"/>
      </rPr>
      <t xml:space="preserve">單一市場過度集中為風險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韓、中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。業者應做多市場組合。</t>
    </r>
  </si>
  <si>
    <r>
      <rPr>
        <sz val="10"/>
        <rFont val="Noto Sans CJK SC"/>
        <family val="2"/>
      </rPr>
      <t xml:space="preserve">風險邏輯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分散</t>
    </r>
  </si>
  <si>
    <r>
      <rPr>
        <sz val="10"/>
        <rFont val="Noto Sans CJK SC"/>
        <family val="2"/>
      </rPr>
      <t xml:space="preserve">來阪外國人時序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市場</t>
    </r>
  </si>
  <si>
    <t xml:space="preserve">風險分散策略</t>
  </si>
  <si>
    <t xml:space="preserve">Q86</t>
  </si>
  <si>
    <r>
      <rPr>
        <sz val="10"/>
        <rFont val="Noto Sans CJK SC"/>
        <family val="2"/>
      </rPr>
      <t xml:space="preserve">大阪居住人口對業者意義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</si>
  <si>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地元客のマーケットは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</si>
  <si>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在地客重不重要</t>
    </r>
    <r>
      <rPr>
        <sz val="10"/>
        <rFont val="Arial"/>
        <family val="0"/>
        <charset val="1"/>
      </rPr>
      <t xml:space="preserve">?</t>
    </r>
  </si>
  <si>
    <t xml:space="preserve">Local resident market significance?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</si>
  <si>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880 </t>
    </r>
    <r>
      <rPr>
        <sz val="10"/>
        <rFont val="Noto Sans CJK SC"/>
        <family val="2"/>
      </rPr>
      <t xml:space="preserve">萬府人口為穩定基盤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不要只看觀光客。雙軌經營較穩。</t>
    </r>
  </si>
  <si>
    <t xml:space="preserve">雙軌策略</t>
  </si>
  <si>
    <r>
      <rPr>
        <sz val="10"/>
        <rFont val="Noto Sans CJK SC"/>
        <family val="2"/>
      </rPr>
      <t xml:space="preserve">公開人口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國內調查</t>
    </r>
  </si>
  <si>
    <r>
      <rPr>
        <sz val="10"/>
        <rFont val="Noto Sans CJK SC"/>
        <family val="2"/>
      </rPr>
      <t xml:space="preserve">在地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觀光雙軌</t>
    </r>
  </si>
  <si>
    <r>
      <rPr>
        <sz val="10"/>
        <rFont val="Noto Sans CJK SC"/>
        <family val="2"/>
      </rPr>
      <t xml:space="preserve">提醒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雙軌策略</t>
    </r>
  </si>
  <si>
    <t xml:space="preserve">Q87</t>
  </si>
  <si>
    <r>
      <rPr>
        <sz val="10"/>
        <rFont val="Noto Sans CJK SC"/>
        <family val="2"/>
      </rPr>
      <t xml:space="preserve">進場時機判斷依據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</si>
  <si>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いつ出店すべき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</si>
  <si>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什麼時候開幕最好</t>
    </r>
    <r>
      <rPr>
        <sz val="10"/>
        <rFont val="Arial"/>
        <family val="0"/>
        <charset val="1"/>
      </rPr>
      <t xml:space="preserve">?</t>
    </r>
  </si>
  <si>
    <t xml:space="preserve">Best opening timing?</t>
  </si>
  <si>
    <r>
      <rPr>
        <sz val="10"/>
        <rFont val="Noto Sans CJK SC"/>
        <family val="2"/>
      </rPr>
      <t xml:space="preserve">旺季前 </t>
    </r>
    <r>
      <rPr>
        <sz val="10"/>
        <rFont val="Arial"/>
        <family val="0"/>
        <charset val="1"/>
      </rPr>
      <t xml:space="preserve">3-6 </t>
    </r>
    <r>
      <rPr>
        <sz val="10"/>
        <rFont val="Noto Sans CJK SC"/>
        <family val="2"/>
      </rPr>
      <t xml:space="preserve">個月開幕為利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結合行銷活動。要扣裝修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試營運週期。</t>
    </r>
  </si>
  <si>
    <t xml:space="preserve">時程邏輯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</si>
  <si>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季節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業者經驗</t>
    </r>
  </si>
  <si>
    <t xml:space="preserve">開幕時機</t>
  </si>
  <si>
    <r>
      <rPr>
        <sz val="10"/>
        <rFont val="Noto Sans CJK SC"/>
        <family val="2"/>
      </rPr>
      <t xml:space="preserve">時程邏輯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不簡化</t>
    </r>
  </si>
  <si>
    <t xml:space="preserve">Q88</t>
  </si>
  <si>
    <r>
      <rPr>
        <sz val="10"/>
        <rFont val="Noto Sans CJK SC"/>
        <family val="2"/>
      </rPr>
      <t xml:space="preserve">初期投資回收典型週期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</si>
  <si>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投資回収期間の目安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</si>
  <si>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多久能回本</t>
    </r>
    <r>
      <rPr>
        <sz val="10"/>
        <rFont val="Arial"/>
        <family val="0"/>
        <charset val="1"/>
      </rPr>
      <t xml:space="preserve">?</t>
    </r>
  </si>
  <si>
    <t xml:space="preserve">Typical payback period?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</si>
  <si>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為觀光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旅客數據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投資回收屬商業範疇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建議查 </t>
    </r>
    <r>
      <rPr>
        <sz val="10"/>
        <rFont val="Arial"/>
        <family val="0"/>
        <charset val="1"/>
      </rPr>
      <t xml:space="preserve">JETRO/</t>
    </r>
    <r>
      <rPr>
        <sz val="10"/>
        <rFont val="Noto Sans CJK SC"/>
        <family val="2"/>
      </rPr>
      <t xml:space="preserve">商工會議所。</t>
    </r>
  </si>
  <si>
    <r>
      <rPr>
        <sz val="10"/>
        <rFont val="Noto Sans CJK SC"/>
        <family val="2"/>
      </rPr>
      <t xml:space="preserve">邊界外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延伸</t>
    </r>
  </si>
  <si>
    <r>
      <rPr>
        <sz val="10"/>
        <rFont val="Noto Sans CJK SC"/>
        <family val="2"/>
      </rPr>
      <t xml:space="preserve">明確邊界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延伸資源</t>
    </r>
  </si>
  <si>
    <t xml:space="preserve">Q89</t>
  </si>
  <si>
    <r>
      <rPr>
        <sz val="10"/>
        <rFont val="Noto Sans CJK SC"/>
        <family val="2"/>
      </rPr>
      <t xml:space="preserve">大阪法規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觀光政策風險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</si>
  <si>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観光法規制で気をつけることは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</si>
  <si>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法規要注意什麼</t>
    </r>
    <r>
      <rPr>
        <sz val="10"/>
        <rFont val="Arial"/>
        <family val="0"/>
        <charset val="1"/>
      </rPr>
      <t xml:space="preserve">?</t>
    </r>
  </si>
  <si>
    <t xml:space="preserve">Regulatory risks?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</si>
  <si>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為觀光資料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法規屬政策範疇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建議查大阪府政策資料。</t>
    </r>
  </si>
  <si>
    <t xml:space="preserve">Q90</t>
  </si>
  <si>
    <r>
      <rPr>
        <sz val="10"/>
        <rFont val="Noto Sans CJK SC"/>
        <family val="2"/>
      </rPr>
      <t xml:space="preserve">不做這件事的機會成本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</si>
  <si>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大阪に出ないとどうなる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</si>
  <si>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不來大阪會怎樣</t>
    </r>
    <r>
      <rPr>
        <sz val="10"/>
        <rFont val="Arial"/>
        <family val="0"/>
        <charset val="1"/>
      </rPr>
      <t xml:space="preserve">?</t>
    </r>
  </si>
  <si>
    <t xml:space="preserve">Opportunity cost of not entering?</t>
  </si>
  <si>
    <r>
      <rPr>
        <sz val="10"/>
        <rFont val="Noto Sans CJK SC"/>
        <family val="2"/>
      </rPr>
      <t xml:space="preserve">失去全日本第二大都市觀光圈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世博紅利</t>
    </r>
    <r>
      <rPr>
        <sz val="10"/>
        <rFont val="Arial"/>
        <family val="0"/>
        <charset val="1"/>
      </rPr>
      <t xml:space="preserve">+IR </t>
    </r>
    <r>
      <rPr>
        <sz val="10"/>
        <rFont val="Noto Sans CJK SC"/>
        <family val="2"/>
      </rPr>
      <t xml:space="preserve">紅利。據估算市場規模 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。</t>
    </r>
  </si>
  <si>
    <t xml:space="preserve">量化「不做」代價</t>
  </si>
  <si>
    <t xml:space="preserve">決策推力</t>
  </si>
  <si>
    <r>
      <rPr>
        <sz val="10"/>
        <rFont val="Noto Sans CJK SC"/>
        <family val="2"/>
      </rPr>
      <t xml:space="preserve">數據量化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避免空泛</t>
    </r>
  </si>
  <si>
    <t xml:space="preserve">Q91</t>
  </si>
  <si>
    <t xml:space="preserve">進階交叉</t>
  </si>
  <si>
    <r>
      <rPr>
        <sz val="10"/>
        <rFont val="Noto Sans CJK SC"/>
        <family val="2"/>
      </rPr>
      <t xml:space="preserve">我要在心齋橋開以韓國客為主的甜點店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有什麼數據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</si>
  <si>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心斎橋で韓国人向けスイーツ店出すなら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</si>
  <si>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心齋橋韓國客甜點店要看什麼</t>
    </r>
    <r>
      <rPr>
        <sz val="10"/>
        <rFont val="Arial"/>
        <family val="0"/>
        <charset val="1"/>
      </rPr>
      <t xml:space="preserve">?</t>
    </r>
  </si>
  <si>
    <t xml:space="preserve">Korean-targeted sweets shop in Shinsaibashi - what data?</t>
  </si>
  <si>
    <r>
      <rPr>
        <sz val="10"/>
        <rFont val="Noto Sans CJK SC"/>
        <family val="2"/>
      </rPr>
      <t xml:space="preserve">三筆交叉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韓國客在大阪規模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來阪統計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心齋橋韓國客比例與消費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觀光地點參數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韓國客對甜點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在地飲食興趣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。附三條原始報告連結。</t>
    </r>
  </si>
  <si>
    <r>
      <rPr>
        <sz val="10"/>
        <rFont val="Noto Sans CJK SC"/>
        <family val="2"/>
      </rPr>
      <t xml:space="preserve">三源交叉摘要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原始連結</t>
    </r>
  </si>
  <si>
    <r>
      <rPr>
        <sz val="10"/>
        <rFont val="Noto Sans CJK SC"/>
        <family val="2"/>
      </rPr>
      <t xml:space="preserve">來阪統計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觀光地點參數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旅マエ</t>
    </r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</si>
  <si>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模擬</t>
    </r>
  </si>
  <si>
    <r>
      <rPr>
        <sz val="10"/>
        <rFont val="Noto Sans CJK SC"/>
        <family val="2"/>
      </rPr>
      <t xml:space="preserve">核心題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多源交叉能力</t>
    </r>
  </si>
  <si>
    <r>
      <rPr>
        <sz val="10"/>
        <rFont val="Noto Sans CJK SC"/>
        <family val="2"/>
      </rPr>
      <t xml:space="preserve">三源交叉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三條連結</t>
    </r>
  </si>
  <si>
    <t xml:space="preserve">Q92</t>
  </si>
  <si>
    <r>
      <rPr>
        <sz val="10"/>
        <rFont val="Noto Sans CJK SC"/>
        <family val="2"/>
      </rPr>
      <t xml:space="preserve">我要做面向歐美高端的茶道體驗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該選哪一區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</si>
  <si>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欧米富裕層向け茶道体験、最適エリアは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</si>
  <si>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歐美高端茶道體驗該選哪</t>
    </r>
    <r>
      <rPr>
        <sz val="10"/>
        <rFont val="Arial"/>
        <family val="0"/>
        <charset val="1"/>
      </rPr>
      <t xml:space="preserve">?</t>
    </r>
  </si>
  <si>
    <t xml:space="preserve">Western premium tea ceremony - best area?</t>
  </si>
  <si>
    <r>
      <rPr>
        <sz val="10"/>
        <rFont val="Noto Sans CJK SC"/>
        <family val="2"/>
      </rPr>
      <t xml:space="preserve">歐美客分布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出口調查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各區域客單價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觀光地點參數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文化體驗興趣度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旅マエ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交叉。</t>
    </r>
  </si>
  <si>
    <t xml:space="preserve">複合決策建議</t>
  </si>
  <si>
    <t xml:space="preserve">多源交叉</t>
  </si>
  <si>
    <t xml:space="preserve">複合決策</t>
  </si>
  <si>
    <r>
      <rPr>
        <sz val="10"/>
        <rFont val="Noto Sans CJK SC"/>
        <family val="2"/>
      </rPr>
      <t xml:space="preserve">多源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決策建議</t>
    </r>
  </si>
  <si>
    <t xml:space="preserve">Q93</t>
  </si>
  <si>
    <r>
      <rPr>
        <sz val="10"/>
        <rFont val="Noto Sans CJK SC"/>
        <family val="2"/>
      </rPr>
      <t xml:space="preserve">我預算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萬円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開什麼業態 </t>
    </r>
    <r>
      <rPr>
        <sz val="10"/>
        <rFont val="Arial"/>
        <family val="0"/>
        <charset val="1"/>
      </rPr>
      <t xml:space="preserve">ROI </t>
    </r>
    <r>
      <rPr>
        <sz val="10"/>
        <rFont val="Noto Sans CJK SC"/>
        <family val="2"/>
      </rPr>
      <t xml:space="preserve">最高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</si>
  <si>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予算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万、何が一番投資効率いい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</si>
  <si>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萬日圓開什麼最賺</t>
    </r>
    <r>
      <rPr>
        <sz val="10"/>
        <rFont val="Arial"/>
        <family val="0"/>
        <charset val="1"/>
      </rPr>
      <t xml:space="preserve">?</t>
    </r>
  </si>
  <si>
    <t xml:space="preserve">10M JPY budget - best ROI business?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</si>
  <si>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給市場面數據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客群、區域、需求</t>
    </r>
    <r>
      <rPr>
        <sz val="10"/>
        <rFont val="Arial"/>
        <family val="0"/>
        <charset val="1"/>
      </rPr>
      <t xml:space="preserve">);ROI </t>
    </r>
    <r>
      <rPr>
        <sz val="10"/>
        <rFont val="Noto Sans CJK SC"/>
        <family val="2"/>
      </rPr>
      <t xml:space="preserve">含成本面需另查。機器人應區分能答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不能答。</t>
    </r>
  </si>
  <si>
    <r>
      <rPr>
        <sz val="10"/>
        <rFont val="Noto Sans CJK SC"/>
        <family val="2"/>
      </rPr>
      <t xml:space="preserve">區分能答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邊界外</t>
    </r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</si>
  <si>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邊界內外混合</t>
    </r>
  </si>
  <si>
    <r>
      <rPr>
        <sz val="10"/>
        <rFont val="Noto Sans CJK SC"/>
        <family val="2"/>
      </rPr>
      <t xml:space="preserve">測試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機器人能否區分邊界</t>
    </r>
  </si>
  <si>
    <r>
      <rPr>
        <sz val="10"/>
        <rFont val="Noto Sans CJK SC"/>
        <family val="2"/>
      </rPr>
      <t xml:space="preserve">區分能答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邊界外</t>
    </r>
  </si>
  <si>
    <t xml:space="preserve">Q94</t>
  </si>
  <si>
    <r>
      <rPr>
        <sz val="10"/>
        <rFont val="Noto Sans CJK SC"/>
        <family val="2"/>
      </rPr>
      <t xml:space="preserve">我的店要避開哪些風險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</si>
  <si>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うちの業態でリスクは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</si>
  <si>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我這業態風險在哪</t>
    </r>
    <r>
      <rPr>
        <sz val="10"/>
        <rFont val="Arial"/>
        <family val="0"/>
        <charset val="1"/>
      </rPr>
      <t xml:space="preserve">?</t>
    </r>
  </si>
  <si>
    <t xml:space="preserve">Risks for my specific business?</t>
  </si>
  <si>
    <r>
      <rPr>
        <sz val="10"/>
        <rFont val="Noto Sans CJK SC"/>
        <family val="2"/>
      </rPr>
      <t xml:space="preserve">單一市場依賴、季節集中、競爭飽和、語言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評價負面循環。需業者提供業態才能精準。</t>
    </r>
  </si>
  <si>
    <t xml:space="preserve">主動反問業者</t>
  </si>
  <si>
    <r>
      <rPr>
        <sz val="10"/>
        <rFont val="Noto Sans CJK SC"/>
        <family val="2"/>
      </rPr>
      <t xml:space="preserve">測試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機器人能否主動反問</t>
    </r>
  </si>
  <si>
    <t xml:space="preserve">主動反問業者業態</t>
  </si>
  <si>
    <t xml:space="preserve">Q95</t>
  </si>
  <si>
    <r>
      <rPr>
        <sz val="10"/>
        <rFont val="Noto Sans CJK SC"/>
        <family val="2"/>
      </rPr>
      <t xml:space="preserve">我要寫商業計劃書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你能幫我找哪些數據</t>
    </r>
    <r>
      <rPr>
        <sz val="10"/>
        <rFont val="Arial"/>
        <family val="0"/>
        <charset val="1"/>
      </rPr>
      <t xml:space="preserve">?</t>
    </r>
  </si>
  <si>
    <t xml:space="preserve">事業計画書作成用に、データ揃えて</t>
  </si>
  <si>
    <r>
      <rPr>
        <sz val="10"/>
        <rFont val="Noto Sans CJK SC"/>
        <family val="2"/>
      </rPr>
      <t xml:space="preserve">做 </t>
    </r>
    <r>
      <rPr>
        <sz val="10"/>
        <rFont val="Arial"/>
        <family val="0"/>
        <charset val="1"/>
      </rPr>
      <t xml:space="preserve">BP </t>
    </r>
    <r>
      <rPr>
        <sz val="10"/>
        <rFont val="Noto Sans CJK SC"/>
        <family val="2"/>
      </rPr>
      <t xml:space="preserve">你能給我什麼</t>
    </r>
    <r>
      <rPr>
        <sz val="10"/>
        <rFont val="Arial"/>
        <family val="0"/>
        <charset val="1"/>
      </rPr>
      <t xml:space="preserve">?</t>
    </r>
  </si>
  <si>
    <t xml:space="preserve">Help me prepare business plan data?</t>
  </si>
  <si>
    <r>
      <rPr>
        <sz val="10"/>
        <rFont val="Noto Sans CJK SC"/>
        <family val="2"/>
      </rPr>
      <t xml:space="preserve">列出 </t>
    </r>
    <r>
      <rPr>
        <sz val="10"/>
        <rFont val="Arial"/>
        <family val="0"/>
        <charset val="1"/>
      </rPr>
      <t xml:space="preserve">BP </t>
    </r>
    <r>
      <rPr>
        <sz val="10"/>
        <rFont val="Noto Sans CJK SC"/>
        <family val="2"/>
      </rPr>
      <t xml:space="preserve">標準章節 </t>
    </r>
    <r>
      <rPr>
        <sz val="10"/>
        <rFont val="Arial"/>
        <family val="0"/>
        <charset val="1"/>
      </rPr>
      <t xml:space="preserve">× datahub </t>
    </r>
    <r>
      <rPr>
        <sz val="10"/>
        <rFont val="Noto Sans CJK SC"/>
        <family val="2"/>
      </rPr>
      <t xml:space="preserve">對應資料清單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市場規模、客群、競爭、選址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</si>
  <si>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從查數據升級為整理研究包</t>
  </si>
  <si>
    <t xml:space="preserve">多源整合</t>
  </si>
  <si>
    <t xml:space="preserve">高價值用例</t>
  </si>
  <si>
    <r>
      <rPr>
        <sz val="10"/>
        <rFont val="Arial"/>
        <family val="0"/>
        <charset val="1"/>
      </rPr>
      <t xml:space="preserve">BP </t>
    </r>
    <r>
      <rPr>
        <sz val="10"/>
        <rFont val="Noto Sans CJK SC"/>
        <family val="2"/>
      </rPr>
      <t xml:space="preserve">章節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資料清單</t>
    </r>
  </si>
  <si>
    <t xml:space="preserve">Q96</t>
  </si>
  <si>
    <r>
      <rPr>
        <sz val="10"/>
        <rFont val="Noto Sans CJK SC"/>
        <family val="2"/>
      </rPr>
      <t xml:space="preserve">兩年後再來大阪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還是趁世博現在來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</si>
  <si>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今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万博後、出店タイミング</t>
    </r>
  </si>
  <si>
    <r>
      <rPr>
        <sz val="10"/>
        <rFont val="Noto Sans CJK SC"/>
        <family val="2"/>
      </rPr>
      <t xml:space="preserve">現在來還是世博後</t>
    </r>
    <r>
      <rPr>
        <sz val="10"/>
        <rFont val="Arial"/>
        <family val="0"/>
        <charset val="1"/>
      </rPr>
      <t xml:space="preserve">?</t>
    </r>
  </si>
  <si>
    <t xml:space="preserve">Now vs post-Expo timing?</t>
  </si>
  <si>
    <r>
      <rPr>
        <sz val="10"/>
        <rFont val="Noto Sans CJK SC"/>
        <family val="2"/>
      </rPr>
      <t xml:space="preserve">世博紅利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競爭過熱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世博後寧靜期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長期穩定。給雙策略而非單一答案。</t>
    </r>
  </si>
  <si>
    <t xml:space="preserve">雙路徑邏輯</t>
  </si>
  <si>
    <t xml:space="preserve">進場時機策略</t>
  </si>
  <si>
    <r>
      <rPr>
        <sz val="10"/>
        <rFont val="Noto Sans CJK SC"/>
        <family val="2"/>
      </rPr>
      <t xml:space="preserve">不武斷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雙路徑</t>
    </r>
  </si>
  <si>
    <t xml:space="preserve">Q97</t>
  </si>
  <si>
    <t xml:space="preserve">我要找跟我業態相近的成功案例</t>
  </si>
  <si>
    <r>
      <rPr>
        <sz val="10"/>
        <rFont val="Noto Sans CJK SC"/>
        <family val="2"/>
      </rPr>
      <t xml:space="preserve">うちと似た業態の成功事例は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</si>
  <si>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有沒有類似業態成功例</t>
    </r>
    <r>
      <rPr>
        <sz val="10"/>
        <rFont val="Arial"/>
        <family val="0"/>
        <charset val="1"/>
      </rPr>
      <t xml:space="preserve">?</t>
    </r>
  </si>
  <si>
    <t xml:space="preserve">Similar success cases?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</si>
  <si>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不直接答「個店案例」。建議參考大阪觀光局發布的事例集或商工會議所案例。</t>
    </r>
  </si>
  <si>
    <r>
      <rPr>
        <sz val="10"/>
        <rFont val="Noto Sans CJK SC"/>
        <family val="2"/>
      </rPr>
      <t xml:space="preserve">測試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不亂編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延伸資源</t>
    </r>
  </si>
  <si>
    <r>
      <rPr>
        <sz val="10"/>
        <rFont val="Noto Sans CJK SC"/>
        <family val="2"/>
      </rPr>
      <t xml:space="preserve">誠實邊界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合適資源</t>
    </r>
  </si>
  <si>
    <t xml:space="preserve">Q98</t>
  </si>
  <si>
    <t xml:space="preserve">請幫我做一份「心齋橋甜點店地區調研報告」摘要</t>
  </si>
  <si>
    <t xml:space="preserve">心斎橋・スイーツ店の市場調査サマリーを</t>
  </si>
  <si>
    <t xml:space="preserve">幫我做心齋橋甜點店調研摘要</t>
  </si>
  <si>
    <t xml:space="preserve">Generate Shinsaibashi sweets market research summary?</t>
  </si>
  <si>
    <r>
      <rPr>
        <sz val="10"/>
        <rFont val="Noto Sans CJK SC"/>
        <family val="2"/>
      </rPr>
      <t xml:space="preserve">整合 </t>
    </r>
    <r>
      <rPr>
        <sz val="10"/>
        <rFont val="Arial"/>
        <family val="0"/>
        <charset val="1"/>
      </rPr>
      <t xml:space="preserve">Q1+Q2+Q4-Q7+Q31+Q41 </t>
    </r>
    <r>
      <rPr>
        <sz val="10"/>
        <rFont val="Noto Sans CJK SC"/>
        <family val="2"/>
      </rPr>
      <t xml:space="preserve">等多題、產出 </t>
    </r>
    <r>
      <rPr>
        <sz val="10"/>
        <rFont val="Arial"/>
        <family val="0"/>
        <charset val="1"/>
      </rPr>
      <t xml:space="preserve">500-800 </t>
    </r>
    <r>
      <rPr>
        <sz val="10"/>
        <rFont val="Noto Sans CJK SC"/>
        <family val="2"/>
      </rPr>
      <t xml:space="preserve">字結構化摘要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市場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客群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區位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業態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行銷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完整資料源清單。</t>
    </r>
  </si>
  <si>
    <r>
      <rPr>
        <sz val="10"/>
        <rFont val="Noto Sans CJK SC"/>
        <family val="2"/>
      </rPr>
      <t xml:space="preserve">終極用例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生成研究報告草稿</t>
    </r>
  </si>
  <si>
    <r>
      <rPr>
        <sz val="10"/>
        <rFont val="Noto Sans CJK SC"/>
        <family val="2"/>
      </rPr>
      <t xml:space="preserve">終極用例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報告生成</t>
    </r>
  </si>
  <si>
    <r>
      <rPr>
        <sz val="10"/>
        <rFont val="Noto Sans CJK SC"/>
        <family val="2"/>
      </rPr>
      <t xml:space="preserve">結構化摘要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資料源</t>
    </r>
  </si>
  <si>
    <t xml:space="preserve">Q99</t>
  </si>
  <si>
    <r>
      <rPr>
        <sz val="10"/>
        <rFont val="Noto Sans CJK SC"/>
        <family val="2"/>
      </rPr>
      <t xml:space="preserve">我問過的問題可以匯出嗎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</si>
  <si>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今までの質問、エクスポートできる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</si>
  <si>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對話紀錄能下載嗎</t>
    </r>
    <r>
      <rPr>
        <sz val="10"/>
        <rFont val="Arial"/>
        <family val="0"/>
        <charset val="1"/>
      </rPr>
      <t xml:space="preserve">?</t>
    </r>
  </si>
  <si>
    <t xml:space="preserve">Can I export my Q&amp;A history?</t>
  </si>
  <si>
    <r>
      <rPr>
        <sz val="10"/>
        <rFont val="Noto Sans CJK SC"/>
        <family val="2"/>
      </rPr>
      <t xml:space="preserve">功能性問題。機器人應提供問答歷史匯出</t>
    </r>
    <r>
      <rPr>
        <sz val="10"/>
        <rFont val="Arial"/>
        <family val="0"/>
        <charset val="1"/>
      </rPr>
      <t xml:space="preserve">(PDF/Markdown)</t>
    </r>
    <r>
      <rPr>
        <sz val="10"/>
        <rFont val="Noto Sans CJK SC"/>
        <family val="2"/>
      </rPr>
      <t xml:space="preserve">。</t>
    </r>
  </si>
  <si>
    <t xml:space="preserve">產品功能設計</t>
  </si>
  <si>
    <r>
      <rPr>
        <sz val="10"/>
        <rFont val="Arial"/>
        <family val="0"/>
        <charset val="1"/>
      </rPr>
      <t xml:space="preserve">N/A - </t>
    </r>
    <r>
      <rPr>
        <sz val="10"/>
        <rFont val="Noto Sans CJK SC"/>
        <family val="2"/>
      </rPr>
      <t xml:space="preserve">系統功能</t>
    </r>
  </si>
  <si>
    <r>
      <rPr>
        <sz val="10"/>
        <rFont val="Noto Sans CJK SC"/>
        <family val="2"/>
      </rPr>
      <t xml:space="preserve">測試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研究歷程留存功能</t>
    </r>
  </si>
  <si>
    <t xml:space="preserve">確認產品功能</t>
  </si>
  <si>
    <t xml:space="preserve">Q100</t>
  </si>
  <si>
    <r>
      <rPr>
        <sz val="10"/>
        <rFont val="Noto Sans CJK SC"/>
        <family val="2"/>
      </rPr>
      <t xml:space="preserve">你的資料是哪一年的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可信嗎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</si>
  <si>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データの信頼性と更新頻度は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</si>
  <si>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資料什麼時候的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可不可信</t>
    </r>
    <r>
      <rPr>
        <sz val="10"/>
        <rFont val="Arial"/>
        <family val="0"/>
        <charset val="1"/>
      </rPr>
      <t xml:space="preserve">?</t>
    </r>
  </si>
  <si>
    <t xml:space="preserve">What years is your data from? Reliable?</t>
  </si>
  <si>
    <r>
      <rPr>
        <sz val="10"/>
        <rFont val="Noto Sans CJK SC"/>
        <family val="2"/>
      </rPr>
      <t xml:space="preserve">明確列出各資料源年份、來源機構、更新頻率。透明度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信賴度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合規與信賴的核心。</t>
    </r>
  </si>
  <si>
    <t xml:space="preserve">主動透明資料邊界</t>
  </si>
  <si>
    <r>
      <rPr>
        <sz val="10"/>
        <rFont val="Arial"/>
        <family val="0"/>
        <charset val="1"/>
      </rPr>
      <t xml:space="preserve">datahub </t>
    </r>
    <r>
      <rPr>
        <sz val="10"/>
        <rFont val="Noto Sans CJK SC"/>
        <family val="2"/>
      </rPr>
      <t xml:space="preserve">各報告 </t>
    </r>
    <r>
      <rPr>
        <sz val="10"/>
        <rFont val="Arial"/>
        <family val="0"/>
        <charset val="1"/>
      </rPr>
      <t xml:space="preserve">metadata</t>
    </r>
  </si>
  <si>
    <t xml:space="preserve">合規與信賴核心</t>
  </si>
  <si>
    <r>
      <rPr>
        <sz val="10"/>
        <rFont val="Noto Sans CJK SC"/>
        <family val="2"/>
      </rPr>
      <t xml:space="preserve">完整透明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來源年份</t>
    </r>
  </si>
  <si>
    <t xml:space="preserve">滿分總和</t>
  </si>
  <si>
    <t xml:space="preserve">demo_questions</t>
  </si>
  <si>
    <t xml:space="preserve">總計</t>
  </si>
  <si>
    <t xml:space="preserve">評分門檻</t>
  </si>
  <si>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可用門檻</t>
    </r>
  </si>
  <si>
    <r>
      <rPr>
        <sz val="11"/>
        <color theme="1"/>
        <rFont val="Calibri"/>
        <family val="2"/>
        <charset val="1"/>
      </rPr>
      <t xml:space="preserve">80% Demo </t>
    </r>
    <r>
      <rPr>
        <sz val="11"/>
        <color theme="1"/>
        <rFont val="Noto Sans CJK SC"/>
        <family val="2"/>
      </rPr>
      <t xml:space="preserve">等級</t>
    </r>
  </si>
  <si>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上線等級</t>
    </r>
  </si>
  <si>
    <t xml:space="preserve">欄位名稱</t>
  </si>
  <si>
    <t xml:space="preserve">中文說明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</si>
  <si>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使用建議</t>
    </r>
  </si>
  <si>
    <t xml:space="preserve">題號</t>
  </si>
  <si>
    <r>
      <rPr>
        <sz val="10"/>
        <rFont val="Arial"/>
        <family val="0"/>
        <charset val="1"/>
      </rPr>
      <t xml:space="preserve">Q1 ~ Q100 </t>
    </r>
    <r>
      <rPr>
        <sz val="10"/>
        <rFont val="Noto Sans CJK SC"/>
        <family val="2"/>
      </rPr>
      <t xml:space="preserve">唯一識別</t>
    </r>
  </si>
  <si>
    <r>
      <rPr>
        <sz val="10"/>
        <rFont val="Noto Sans CJK SC"/>
        <family val="2"/>
      </rPr>
      <t xml:space="preserve">可作為 </t>
    </r>
    <r>
      <rPr>
        <sz val="10"/>
        <rFont val="Arial"/>
        <family val="0"/>
        <charset val="1"/>
      </rPr>
      <t xml:space="preserve">RAG chunk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metadata</t>
    </r>
  </si>
  <si>
    <r>
      <rPr>
        <sz val="10"/>
        <rFont val="Noto Sans CJK SC"/>
        <family val="2"/>
      </rPr>
      <t xml:space="preserve">階段編號 </t>
    </r>
    <r>
      <rPr>
        <sz val="10"/>
        <rFont val="Arial"/>
        <family val="0"/>
        <charset val="1"/>
      </rPr>
      <t xml:space="preserve">1-10</t>
    </r>
  </si>
  <si>
    <t xml:space="preserve">業者決策旅程階段</t>
  </si>
  <si>
    <t xml:space="preserve">用於分層檢索</t>
  </si>
  <si>
    <t xml:space="preserve">階段名稱</t>
  </si>
  <si>
    <t xml:space="preserve">可讀性標籤</t>
  </si>
  <si>
    <t xml:space="preserve">向量化時可加權</t>
  </si>
  <si>
    <r>
      <rPr>
        <sz val="10"/>
        <rFont val="Noto Sans CJK SC"/>
        <family val="2"/>
      </rPr>
      <t xml:space="preserve">主題問題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中文</t>
    </r>
    <r>
      <rPr>
        <sz val="10"/>
        <rFont val="Arial"/>
        <family val="0"/>
        <charset val="1"/>
      </rPr>
      <t xml:space="preserve">)</t>
    </r>
  </si>
  <si>
    <t xml:space="preserve">核心查詢意圖</t>
  </si>
  <si>
    <r>
      <rPr>
        <sz val="10"/>
        <rFont val="Noto Sans CJK SC"/>
        <family val="2"/>
      </rPr>
      <t xml:space="preserve">主要 </t>
    </r>
    <r>
      <rPr>
        <sz val="10"/>
        <rFont val="Arial"/>
        <family val="0"/>
        <charset val="1"/>
      </rPr>
      <t xml:space="preserve">embedding </t>
    </r>
    <r>
      <rPr>
        <sz val="10"/>
        <rFont val="Noto Sans CJK SC"/>
        <family val="2"/>
      </rPr>
      <t xml:space="preserve">來源</t>
    </r>
  </si>
  <si>
    <t xml:space="preserve">業者日文問法</t>
  </si>
  <si>
    <t xml:space="preserve">日文場景測試</t>
  </si>
  <si>
    <r>
      <rPr>
        <sz val="10"/>
        <rFont val="Noto Sans CJK SC"/>
        <family val="2"/>
      </rPr>
      <t xml:space="preserve">日文版 </t>
    </r>
    <r>
      <rPr>
        <sz val="10"/>
        <rFont val="Arial"/>
        <family val="0"/>
        <charset val="1"/>
      </rPr>
      <t xml:space="preserve">embedding</t>
    </r>
  </si>
  <si>
    <t xml:space="preserve">中文問法變體</t>
  </si>
  <si>
    <t xml:space="preserve">口語化變體</t>
  </si>
  <si>
    <t xml:space="preserve">擴展訓練語料</t>
  </si>
  <si>
    <t xml:space="preserve">英文問法變體</t>
  </si>
  <si>
    <t xml:space="preserve">英文場景測試</t>
  </si>
  <si>
    <r>
      <rPr>
        <sz val="10"/>
        <rFont val="Noto Sans CJK SC"/>
        <family val="2"/>
      </rPr>
      <t xml:space="preserve">英文版 </t>
    </r>
    <r>
      <rPr>
        <sz val="10"/>
        <rFont val="Arial"/>
        <family val="0"/>
        <charset val="1"/>
      </rPr>
      <t xml:space="preserve">embedding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</si>
  <si>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回答方向</t>
    </r>
  </si>
  <si>
    <t xml:space="preserve">完整回答模板</t>
  </si>
  <si>
    <t xml:space="preserve">輸出比對基準</t>
  </si>
  <si>
    <t xml:space="preserve">必含關鍵數據點</t>
  </si>
  <si>
    <t xml:space="preserve">驗收必含內容</t>
  </si>
  <si>
    <r>
      <rPr>
        <sz val="10"/>
        <rFont val="Arial"/>
        <family val="0"/>
        <charset val="1"/>
      </rPr>
      <t xml:space="preserve">rubric </t>
    </r>
    <r>
      <rPr>
        <sz val="10"/>
        <rFont val="Noto Sans CJK SC"/>
        <family val="2"/>
      </rPr>
      <t xml:space="preserve">評分依據</t>
    </r>
  </si>
  <si>
    <t xml:space="preserve">主要資料源</t>
  </si>
  <si>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必引用報告</t>
    </r>
  </si>
  <si>
    <t xml:space="preserve">檢索目標報告</t>
  </si>
  <si>
    <t xml:space="preserve">次要資料源</t>
  </si>
  <si>
    <t xml:space="preserve">輔助資料</t>
  </si>
  <si>
    <t xml:space="preserve">交叉查詢依據</t>
  </si>
  <si>
    <r>
      <rPr>
        <sz val="10"/>
        <rFont val="Noto Sans CJK SC"/>
        <family val="2"/>
      </rPr>
      <t xml:space="preserve">實數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模擬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邊界外</t>
    </r>
  </si>
  <si>
    <t xml:space="preserve">資料完備度標記</t>
  </si>
  <si>
    <r>
      <rPr>
        <sz val="10"/>
        <rFont val="Noto Sans CJK SC"/>
        <family val="2"/>
      </rPr>
      <t xml:space="preserve">提示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是否該回答</t>
    </r>
  </si>
  <si>
    <t xml:space="preserve">對業者的商業價值</t>
  </si>
  <si>
    <t xml:space="preserve">回答的「所以呢」</t>
  </si>
  <si>
    <t xml:space="preserve">判斷回答是否到位</t>
  </si>
  <si>
    <t xml:space="preserve">評分要點</t>
  </si>
  <si>
    <t xml:space="preserve">工程驗收標準</t>
  </si>
  <si>
    <r>
      <rPr>
        <sz val="10"/>
        <rFont val="Arial"/>
        <family val="0"/>
        <charset val="1"/>
      </rPr>
      <t xml:space="preserve">rubric </t>
    </r>
    <r>
      <rPr>
        <sz val="10"/>
        <rFont val="Noto Sans CJK SC"/>
        <family val="2"/>
      </rPr>
      <t xml:space="preserve">構建</t>
    </r>
  </si>
  <si>
    <r>
      <rPr>
        <sz val="10"/>
        <rFont val="Noto Sans CJK SC"/>
        <family val="2"/>
      </rPr>
      <t xml:space="preserve">滿分</t>
    </r>
    <r>
      <rPr>
        <sz val="10"/>
        <rFont val="Arial"/>
        <family val="0"/>
        <charset val="1"/>
      </rPr>
      <t xml:space="preserve">(5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6)</t>
    </r>
  </si>
  <si>
    <t xml:space="preserve">重要性權重</t>
  </si>
  <si>
    <t xml:space="preserve">加權計分</t>
  </si>
  <si>
    <t xml:space="preserve">smoke/core/edge/standard</t>
  </si>
  <si>
    <t xml:space="preserve">測試優先序</t>
  </si>
  <si>
    <t xml:space="preserve">選測順序</t>
  </si>
  <si>
    <r>
      <rPr>
        <sz val="10"/>
        <rFont val="Arial"/>
        <family val="0"/>
        <charset val="1"/>
      </rPr>
      <t xml:space="preserve">Y/N - </t>
    </r>
    <r>
      <rPr>
        <sz val="10"/>
        <rFont val="Noto Sans CJK SC"/>
        <family val="2"/>
      </rPr>
      <t xml:space="preserve">是否邊界測試題</t>
    </r>
  </si>
  <si>
    <t xml:space="preserve">重點驗收項</t>
  </si>
  <si>
    <r>
      <rPr>
        <sz val="10"/>
        <rFont val="Arial"/>
        <family val="0"/>
        <charset val="1"/>
      </rPr>
      <t xml:space="preserve">Y/N - </t>
    </r>
    <r>
      <rPr>
        <sz val="10"/>
        <rFont val="Noto Sans CJK SC"/>
        <family val="2"/>
      </rPr>
      <t xml:space="preserve">是否 </t>
    </r>
    <r>
      <rPr>
        <sz val="10"/>
        <rFont val="Arial"/>
        <family val="0"/>
        <charset val="1"/>
      </rPr>
      <t xml:space="preserve">Demo </t>
    </r>
    <r>
      <rPr>
        <sz val="10"/>
        <rFont val="Noto Sans CJK SC"/>
        <family val="2"/>
      </rPr>
      <t xml:space="preserve">展示題</t>
    </r>
  </si>
  <si>
    <t xml:space="preserve">提案展示用</t>
  </si>
  <si>
    <r>
      <rPr>
        <sz val="10"/>
        <rFont val="Noto Sans CJK SC"/>
        <family val="2"/>
      </rPr>
      <t xml:space="preserve">提案 </t>
    </r>
    <r>
      <rPr>
        <sz val="10"/>
        <rFont val="Arial"/>
        <family val="0"/>
        <charset val="1"/>
      </rPr>
      <t xml:space="preserve">Demo </t>
    </r>
    <r>
      <rPr>
        <sz val="10"/>
        <rFont val="Noto Sans CJK SC"/>
        <family val="2"/>
      </rPr>
      <t xml:space="preserve">選題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</si>
</sst>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1"/>
      <color theme="1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6EFCE"/>
      </patternFill>
    </fill>
    <fill>
      <patternFill patternType="solid">
        <fgColor rgb="FFFFEB9C"/>
        <bgColor rgb="FFFFE699"/>
      </patternFill>
    </fill>
    <fill>
      <patternFill patternType="solid">
        <fgColor rgb="FFFFE699"/>
        <bgColor rgb="FFFFEB9C"/>
      </patternFill>
    </fill>
    <fill>
      <patternFill patternType="solid">
        <fgColor rgb="FFFFC7CE"/>
        <bgColor rgb="FFFFE699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5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7.15" hidden="false" customHeight="false" outlineLevel="0" collapsed="false">
      <c r="A3" s="3" t="s">
        <v>1</v>
      </c>
      <c r="B3" s="4" t="s">
        <v>2</v>
      </c>
      <c r="C3" s="3"/>
    </row>
    <row r="4" customFormat="false" ht="17.15" hidden="false" customHeight="false" outlineLevel="0" collapsed="false">
      <c r="A4" s="5" t="s">
        <v>3</v>
      </c>
      <c r="B4" s="5" t="s">
        <v>4</v>
      </c>
      <c r="C4" s="2"/>
    </row>
    <row r="5" customFormat="false" ht="17.15" hidden="false" customHeight="false" outlineLevel="0" collapsed="false">
      <c r="A5" s="5" t="s">
        <v>5</v>
      </c>
      <c r="B5" s="5" t="s">
        <v>6</v>
      </c>
      <c r="C5" s="2"/>
    </row>
    <row r="6" customFormat="false" ht="17.15" hidden="false" customHeight="false" outlineLevel="0" collapsed="false">
      <c r="A6" s="5" t="s">
        <v>7</v>
      </c>
      <c r="B6" s="2" t="s">
        <v>8</v>
      </c>
      <c r="C6" s="2"/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3" t="s">
        <v>9</v>
      </c>
      <c r="B8" s="3"/>
      <c r="C8" s="3"/>
    </row>
    <row r="9" customFormat="false" ht="15" hidden="false" customHeight="false" outlineLevel="0" collapsed="false">
      <c r="A9" s="6" t="s">
        <v>10</v>
      </c>
      <c r="B9" s="6" t="s">
        <v>1</v>
      </c>
      <c r="C9" s="6" t="s">
        <v>11</v>
      </c>
    </row>
    <row r="10" customFormat="false" ht="17.15" hidden="false" customHeight="false" outlineLevel="0" collapsed="false">
      <c r="A10" s="2" t="s">
        <v>12</v>
      </c>
      <c r="B10" s="5" t="s">
        <v>13</v>
      </c>
      <c r="C10" s="5" t="s">
        <v>14</v>
      </c>
    </row>
    <row r="11" customFormat="false" ht="17.15" hidden="false" customHeight="false" outlineLevel="0" collapsed="false">
      <c r="A11" s="2" t="s">
        <v>15</v>
      </c>
      <c r="B11" s="5" t="s">
        <v>16</v>
      </c>
      <c r="C11" s="2" t="s">
        <v>17</v>
      </c>
    </row>
    <row r="12" customFormat="false" ht="17.15" hidden="false" customHeight="false" outlineLevel="0" collapsed="false">
      <c r="A12" s="2" t="s">
        <v>18</v>
      </c>
      <c r="B12" s="2" t="s">
        <v>19</v>
      </c>
      <c r="C12" s="5" t="s">
        <v>20</v>
      </c>
    </row>
    <row r="13" customFormat="false" ht="17.15" hidden="false" customHeight="false" outlineLevel="0" collapsed="false">
      <c r="A13" s="2" t="s">
        <v>21</v>
      </c>
      <c r="B13" s="5" t="s">
        <v>22</v>
      </c>
      <c r="C13" s="2" t="s">
        <v>23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3" t="s">
        <v>24</v>
      </c>
      <c r="B15" s="3"/>
      <c r="C15" s="3"/>
    </row>
    <row r="16" customFormat="false" ht="17.15" hidden="false" customHeight="false" outlineLevel="0" collapsed="false">
      <c r="A16" s="2" t="s">
        <v>25</v>
      </c>
      <c r="B16" s="5" t="s">
        <v>26</v>
      </c>
      <c r="C16" s="2"/>
    </row>
    <row r="17" customFormat="false" ht="17.15" hidden="false" customHeight="false" outlineLevel="0" collapsed="false">
      <c r="A17" s="2" t="s">
        <v>27</v>
      </c>
      <c r="B17" s="5" t="s">
        <v>28</v>
      </c>
      <c r="C17" s="2"/>
    </row>
    <row r="18" customFormat="false" ht="15" hidden="false" customHeight="false" outlineLevel="0" collapsed="false">
      <c r="A18" s="2"/>
      <c r="B18" s="2"/>
      <c r="C18" s="2"/>
    </row>
    <row r="19" customFormat="false" ht="17.15" hidden="false" customHeight="false" outlineLevel="0" collapsed="false">
      <c r="A19" s="4" t="s">
        <v>29</v>
      </c>
      <c r="B19" s="3"/>
      <c r="C19" s="3"/>
    </row>
    <row r="20" customFormat="false" ht="17.15" hidden="false" customHeight="false" outlineLevel="0" collapsed="false">
      <c r="A20" s="2" t="s">
        <v>30</v>
      </c>
      <c r="B20" s="5" t="s">
        <v>31</v>
      </c>
      <c r="C20" s="2"/>
    </row>
    <row r="21" customFormat="false" ht="17.15" hidden="false" customHeight="false" outlineLevel="0" collapsed="false">
      <c r="A21" s="2" t="s">
        <v>32</v>
      </c>
      <c r="B21" s="5" t="s">
        <v>33</v>
      </c>
      <c r="C21" s="2"/>
    </row>
    <row r="22" customFormat="false" ht="17.15" hidden="false" customHeight="false" outlineLevel="0" collapsed="false">
      <c r="A22" s="2" t="s">
        <v>34</v>
      </c>
      <c r="B22" s="5" t="s">
        <v>35</v>
      </c>
      <c r="C22" s="2"/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3" t="s">
        <v>36</v>
      </c>
      <c r="B24" s="3"/>
      <c r="C24" s="3"/>
    </row>
    <row r="25" customFormat="false" ht="15" hidden="false" customHeight="false" outlineLevel="0" collapsed="false">
      <c r="A25" s="2" t="s">
        <v>37</v>
      </c>
      <c r="B25" s="5" t="s">
        <v>38</v>
      </c>
      <c r="C25" s="2"/>
    </row>
    <row r="26" customFormat="false" ht="17.15" hidden="false" customHeight="false" outlineLevel="0" collapsed="false">
      <c r="A26" s="2" t="s">
        <v>39</v>
      </c>
      <c r="B26" s="5" t="s">
        <v>40</v>
      </c>
      <c r="C26" s="2"/>
    </row>
    <row r="27" customFormat="false" ht="15" hidden="false" customHeight="false" outlineLevel="0" collapsed="false">
      <c r="A27" s="2" t="s">
        <v>41</v>
      </c>
      <c r="B27" s="5" t="s">
        <v>42</v>
      </c>
      <c r="C27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4" min="13" style="0" width="22"/>
    <col collapsed="false" customWidth="true" hidden="false" outlineLevel="0" max="15" min="15" style="0" width="7"/>
    <col collapsed="false" customWidth="true" hidden="false" outlineLevel="0" max="16" min="16" style="0" width="10"/>
    <col collapsed="false" customWidth="true" hidden="false" outlineLevel="0" max="18" min="17" style="0" width="7"/>
  </cols>
  <sheetData>
    <row r="1" customFormat="false" ht="34.5" hidden="false" customHeight="true" outlineLevel="0" collapsed="false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60</v>
      </c>
    </row>
    <row r="2" customFormat="false" ht="44" hidden="false" customHeight="false" outlineLevel="0" collapsed="false">
      <c r="A2" s="8" t="s">
        <v>61</v>
      </c>
      <c r="B2" s="8" t="n">
        <v>1</v>
      </c>
      <c r="C2" s="9" t="s">
        <v>62</v>
      </c>
      <c r="D2" s="9" t="s">
        <v>63</v>
      </c>
      <c r="E2" s="9" t="s">
        <v>64</v>
      </c>
      <c r="F2" s="9" t="s">
        <v>65</v>
      </c>
      <c r="G2" s="8" t="s">
        <v>66</v>
      </c>
      <c r="H2" s="9" t="s">
        <v>67</v>
      </c>
      <c r="I2" s="9" t="s">
        <v>68</v>
      </c>
      <c r="J2" s="9" t="s">
        <v>69</v>
      </c>
      <c r="K2" s="9" t="s">
        <v>70</v>
      </c>
      <c r="L2" s="10" t="s">
        <v>71</v>
      </c>
      <c r="M2" s="9" t="s">
        <v>72</v>
      </c>
      <c r="N2" s="9" t="s">
        <v>73</v>
      </c>
      <c r="O2" s="8" t="n">
        <v>5</v>
      </c>
      <c r="P2" s="11" t="s">
        <v>74</v>
      </c>
      <c r="Q2" s="8" t="s">
        <v>75</v>
      </c>
      <c r="R2" s="8" t="s">
        <v>75</v>
      </c>
    </row>
    <row r="3" customFormat="false" ht="44" hidden="false" customHeight="false" outlineLevel="0" collapsed="false">
      <c r="A3" s="8" t="s">
        <v>76</v>
      </c>
      <c r="B3" s="8" t="n">
        <v>1</v>
      </c>
      <c r="C3" s="9" t="s">
        <v>62</v>
      </c>
      <c r="D3" s="9" t="s">
        <v>77</v>
      </c>
      <c r="E3" s="9" t="s">
        <v>78</v>
      </c>
      <c r="F3" s="9" t="s">
        <v>79</v>
      </c>
      <c r="G3" s="8" t="s">
        <v>80</v>
      </c>
      <c r="H3" s="8" t="s">
        <v>81</v>
      </c>
      <c r="I3" s="9" t="s">
        <v>82</v>
      </c>
      <c r="J3" s="9" t="s">
        <v>83</v>
      </c>
      <c r="K3" s="8"/>
      <c r="L3" s="10" t="s">
        <v>71</v>
      </c>
      <c r="M3" s="9" t="s">
        <v>84</v>
      </c>
      <c r="N3" s="9" t="s">
        <v>85</v>
      </c>
      <c r="O3" s="8" t="n">
        <v>5</v>
      </c>
      <c r="P3" s="8" t="s">
        <v>86</v>
      </c>
      <c r="Q3" s="8" t="s">
        <v>75</v>
      </c>
      <c r="R3" s="8" t="s">
        <v>75</v>
      </c>
    </row>
    <row r="4" customFormat="false" ht="44" hidden="false" customHeight="false" outlineLevel="0" collapsed="false">
      <c r="A4" s="8" t="s">
        <v>87</v>
      </c>
      <c r="B4" s="8" t="n">
        <v>1</v>
      </c>
      <c r="C4" s="9" t="s">
        <v>62</v>
      </c>
      <c r="D4" s="9" t="s">
        <v>88</v>
      </c>
      <c r="E4" s="9" t="s">
        <v>89</v>
      </c>
      <c r="F4" s="9" t="s">
        <v>90</v>
      </c>
      <c r="G4" s="8" t="s">
        <v>91</v>
      </c>
      <c r="H4" s="9" t="s">
        <v>92</v>
      </c>
      <c r="I4" s="9" t="s">
        <v>93</v>
      </c>
      <c r="J4" s="8" t="s">
        <v>94</v>
      </c>
      <c r="K4" s="8"/>
      <c r="L4" s="10" t="s">
        <v>71</v>
      </c>
      <c r="M4" s="9" t="s">
        <v>95</v>
      </c>
      <c r="N4" s="9" t="s">
        <v>96</v>
      </c>
      <c r="O4" s="8" t="n">
        <v>5</v>
      </c>
      <c r="P4" s="8" t="s">
        <v>86</v>
      </c>
      <c r="Q4" s="8" t="s">
        <v>75</v>
      </c>
      <c r="R4" s="8" t="s">
        <v>75</v>
      </c>
    </row>
    <row r="5" customFormat="false" ht="29.85" hidden="false" customHeight="false" outlineLevel="0" collapsed="false">
      <c r="A5" s="8" t="s">
        <v>97</v>
      </c>
      <c r="B5" s="8" t="n">
        <v>1</v>
      </c>
      <c r="C5" s="9" t="s">
        <v>62</v>
      </c>
      <c r="D5" s="9" t="s">
        <v>98</v>
      </c>
      <c r="E5" s="9" t="s">
        <v>99</v>
      </c>
      <c r="F5" s="9" t="s">
        <v>100</v>
      </c>
      <c r="G5" s="8" t="s">
        <v>101</v>
      </c>
      <c r="H5" s="9" t="s">
        <v>102</v>
      </c>
      <c r="I5" s="9" t="s">
        <v>103</v>
      </c>
      <c r="J5" s="9" t="s">
        <v>104</v>
      </c>
      <c r="K5" s="8"/>
      <c r="L5" s="10" t="s">
        <v>71</v>
      </c>
      <c r="M5" s="9" t="s">
        <v>105</v>
      </c>
      <c r="N5" s="9" t="s">
        <v>106</v>
      </c>
      <c r="O5" s="8" t="n">
        <v>5</v>
      </c>
      <c r="P5" s="8" t="s">
        <v>86</v>
      </c>
      <c r="Q5" s="8" t="s">
        <v>75</v>
      </c>
      <c r="R5" s="8" t="s">
        <v>75</v>
      </c>
    </row>
    <row r="6" customFormat="false" ht="29.85" hidden="false" customHeight="false" outlineLevel="0" collapsed="false">
      <c r="A6" s="8" t="s">
        <v>107</v>
      </c>
      <c r="B6" s="8" t="n">
        <v>1</v>
      </c>
      <c r="C6" s="9" t="s">
        <v>62</v>
      </c>
      <c r="D6" s="9" t="s">
        <v>108</v>
      </c>
      <c r="E6" s="9" t="s">
        <v>109</v>
      </c>
      <c r="F6" s="9" t="s">
        <v>110</v>
      </c>
      <c r="G6" s="8" t="s">
        <v>111</v>
      </c>
      <c r="H6" s="9" t="s">
        <v>112</v>
      </c>
      <c r="I6" s="9" t="s">
        <v>113</v>
      </c>
      <c r="J6" s="9" t="s">
        <v>114</v>
      </c>
      <c r="K6" s="8"/>
      <c r="L6" s="10" t="s">
        <v>71</v>
      </c>
      <c r="M6" s="9" t="s">
        <v>115</v>
      </c>
      <c r="N6" s="9" t="s">
        <v>116</v>
      </c>
      <c r="O6" s="8" t="n">
        <v>5</v>
      </c>
      <c r="P6" s="8" t="s">
        <v>86</v>
      </c>
      <c r="Q6" s="8" t="s">
        <v>75</v>
      </c>
      <c r="R6" s="8" t="s">
        <v>75</v>
      </c>
    </row>
    <row r="7" customFormat="false" ht="29.85" hidden="false" customHeight="false" outlineLevel="0" collapsed="false">
      <c r="A7" s="8" t="s">
        <v>117</v>
      </c>
      <c r="B7" s="8" t="n">
        <v>1</v>
      </c>
      <c r="C7" s="9" t="s">
        <v>62</v>
      </c>
      <c r="D7" s="9" t="s">
        <v>118</v>
      </c>
      <c r="E7" s="9" t="s">
        <v>119</v>
      </c>
      <c r="F7" s="9" t="s">
        <v>120</v>
      </c>
      <c r="G7" s="8" t="s">
        <v>121</v>
      </c>
      <c r="H7" s="9" t="s">
        <v>122</v>
      </c>
      <c r="I7" s="9" t="s">
        <v>123</v>
      </c>
      <c r="J7" s="9" t="s">
        <v>114</v>
      </c>
      <c r="K7" s="8"/>
      <c r="L7" s="10" t="s">
        <v>71</v>
      </c>
      <c r="M7" s="9" t="s">
        <v>124</v>
      </c>
      <c r="N7" s="9" t="s">
        <v>125</v>
      </c>
      <c r="O7" s="8" t="n">
        <v>5</v>
      </c>
      <c r="P7" s="8" t="s">
        <v>86</v>
      </c>
      <c r="Q7" s="8" t="s">
        <v>126</v>
      </c>
      <c r="R7" s="8" t="s">
        <v>75</v>
      </c>
    </row>
    <row r="8" customFormat="false" ht="29.85" hidden="false" customHeight="false" outlineLevel="0" collapsed="false">
      <c r="A8" s="8" t="s">
        <v>127</v>
      </c>
      <c r="B8" s="8" t="n">
        <v>1</v>
      </c>
      <c r="C8" s="9" t="s">
        <v>62</v>
      </c>
      <c r="D8" s="9" t="s">
        <v>128</v>
      </c>
      <c r="E8" s="9" t="s">
        <v>129</v>
      </c>
      <c r="F8" s="9" t="s">
        <v>130</v>
      </c>
      <c r="G8" s="8" t="s">
        <v>131</v>
      </c>
      <c r="H8" s="9" t="s">
        <v>132</v>
      </c>
      <c r="I8" s="9" t="s">
        <v>133</v>
      </c>
      <c r="J8" s="9" t="s">
        <v>104</v>
      </c>
      <c r="K8" s="8"/>
      <c r="L8" s="10" t="s">
        <v>71</v>
      </c>
      <c r="M8" s="9" t="s">
        <v>134</v>
      </c>
      <c r="N8" s="9" t="s">
        <v>135</v>
      </c>
      <c r="O8" s="8" t="n">
        <v>5</v>
      </c>
      <c r="P8" s="8" t="s">
        <v>86</v>
      </c>
      <c r="Q8" s="8" t="s">
        <v>75</v>
      </c>
      <c r="R8" s="8" t="s">
        <v>75</v>
      </c>
    </row>
    <row r="9" customFormat="false" ht="29.85" hidden="false" customHeight="false" outlineLevel="0" collapsed="false">
      <c r="A9" s="8" t="s">
        <v>136</v>
      </c>
      <c r="B9" s="8" t="n">
        <v>1</v>
      </c>
      <c r="C9" s="9" t="s">
        <v>62</v>
      </c>
      <c r="D9" s="9" t="s">
        <v>137</v>
      </c>
      <c r="E9" s="9" t="s">
        <v>138</v>
      </c>
      <c r="F9" s="9" t="s">
        <v>139</v>
      </c>
      <c r="G9" s="8" t="s">
        <v>140</v>
      </c>
      <c r="H9" s="9" t="s">
        <v>141</v>
      </c>
      <c r="I9" s="9" t="s">
        <v>142</v>
      </c>
      <c r="J9" s="9" t="s">
        <v>143</v>
      </c>
      <c r="K9" s="9" t="s">
        <v>144</v>
      </c>
      <c r="L9" s="10" t="s">
        <v>71</v>
      </c>
      <c r="M9" s="9" t="s">
        <v>145</v>
      </c>
      <c r="N9" s="9" t="s">
        <v>146</v>
      </c>
      <c r="O9" s="8" t="n">
        <v>5</v>
      </c>
      <c r="P9" s="8" t="s">
        <v>86</v>
      </c>
      <c r="Q9" s="8" t="s">
        <v>75</v>
      </c>
      <c r="R9" s="8" t="s">
        <v>75</v>
      </c>
    </row>
    <row r="10" customFormat="false" ht="29.85" hidden="false" customHeight="false" outlineLevel="0" collapsed="false">
      <c r="A10" s="8" t="s">
        <v>147</v>
      </c>
      <c r="B10" s="8" t="n">
        <v>1</v>
      </c>
      <c r="C10" s="9" t="s">
        <v>62</v>
      </c>
      <c r="D10" s="9" t="s">
        <v>148</v>
      </c>
      <c r="E10" s="9" t="s">
        <v>149</v>
      </c>
      <c r="F10" s="9" t="s">
        <v>150</v>
      </c>
      <c r="G10" s="8" t="s">
        <v>151</v>
      </c>
      <c r="H10" s="9" t="s">
        <v>152</v>
      </c>
      <c r="I10" s="9" t="s">
        <v>153</v>
      </c>
      <c r="J10" s="9" t="s">
        <v>154</v>
      </c>
      <c r="K10" s="8"/>
      <c r="L10" s="10" t="s">
        <v>71</v>
      </c>
      <c r="M10" s="9" t="s">
        <v>155</v>
      </c>
      <c r="N10" s="9" t="s">
        <v>156</v>
      </c>
      <c r="O10" s="8" t="n">
        <v>5</v>
      </c>
      <c r="P10" s="8" t="s">
        <v>86</v>
      </c>
      <c r="Q10" s="8" t="s">
        <v>75</v>
      </c>
      <c r="R10" s="8" t="s">
        <v>75</v>
      </c>
    </row>
    <row r="11" customFormat="false" ht="44" hidden="false" customHeight="false" outlineLevel="0" collapsed="false">
      <c r="A11" s="8" t="s">
        <v>157</v>
      </c>
      <c r="B11" s="8" t="n">
        <v>1</v>
      </c>
      <c r="C11" s="9" t="s">
        <v>62</v>
      </c>
      <c r="D11" s="9" t="s">
        <v>158</v>
      </c>
      <c r="E11" s="9" t="s">
        <v>159</v>
      </c>
      <c r="F11" s="9" t="s">
        <v>160</v>
      </c>
      <c r="G11" s="8" t="s">
        <v>161</v>
      </c>
      <c r="H11" s="9" t="s">
        <v>162</v>
      </c>
      <c r="I11" s="9" t="s">
        <v>163</v>
      </c>
      <c r="J11" s="9" t="s">
        <v>164</v>
      </c>
      <c r="K11" s="8"/>
      <c r="L11" s="12" t="s">
        <v>165</v>
      </c>
      <c r="M11" s="9" t="s">
        <v>166</v>
      </c>
      <c r="N11" s="9" t="s">
        <v>167</v>
      </c>
      <c r="O11" s="8" t="n">
        <v>5</v>
      </c>
      <c r="P11" s="13" t="s">
        <v>168</v>
      </c>
      <c r="Q11" s="8" t="s">
        <v>126</v>
      </c>
      <c r="R11" s="8" t="s">
        <v>126</v>
      </c>
    </row>
    <row r="12" customFormat="false" ht="44" hidden="false" customHeight="false" outlineLevel="0" collapsed="false">
      <c r="A12" s="8" t="s">
        <v>169</v>
      </c>
      <c r="B12" s="8" t="n">
        <v>2</v>
      </c>
      <c r="C12" s="9" t="s">
        <v>170</v>
      </c>
      <c r="D12" s="9" t="s">
        <v>171</v>
      </c>
      <c r="E12" s="9" t="s">
        <v>172</v>
      </c>
      <c r="F12" s="9" t="s">
        <v>173</v>
      </c>
      <c r="G12" s="8" t="s">
        <v>174</v>
      </c>
      <c r="H12" s="9" t="s">
        <v>175</v>
      </c>
      <c r="I12" s="9" t="s">
        <v>176</v>
      </c>
      <c r="J12" s="9" t="s">
        <v>177</v>
      </c>
      <c r="K12" s="8"/>
      <c r="L12" s="14" t="s">
        <v>178</v>
      </c>
      <c r="M12" s="9" t="s">
        <v>179</v>
      </c>
      <c r="N12" s="9" t="s">
        <v>180</v>
      </c>
      <c r="O12" s="8" t="n">
        <v>5</v>
      </c>
      <c r="P12" s="11" t="s">
        <v>74</v>
      </c>
      <c r="Q12" s="8" t="s">
        <v>126</v>
      </c>
      <c r="R12" s="8" t="s">
        <v>126</v>
      </c>
    </row>
    <row r="13" customFormat="false" ht="29.85" hidden="false" customHeight="false" outlineLevel="0" collapsed="false">
      <c r="A13" s="8" t="s">
        <v>181</v>
      </c>
      <c r="B13" s="8" t="n">
        <v>2</v>
      </c>
      <c r="C13" s="9" t="s">
        <v>170</v>
      </c>
      <c r="D13" s="9" t="s">
        <v>182</v>
      </c>
      <c r="E13" s="9" t="s">
        <v>183</v>
      </c>
      <c r="F13" s="9" t="s">
        <v>184</v>
      </c>
      <c r="G13" s="8" t="s">
        <v>185</v>
      </c>
      <c r="H13" s="9" t="s">
        <v>186</v>
      </c>
      <c r="I13" s="9" t="s">
        <v>187</v>
      </c>
      <c r="J13" s="9" t="s">
        <v>143</v>
      </c>
      <c r="K13" s="9" t="s">
        <v>188</v>
      </c>
      <c r="L13" s="10" t="s">
        <v>71</v>
      </c>
      <c r="M13" s="9" t="s">
        <v>189</v>
      </c>
      <c r="N13" s="9" t="s">
        <v>190</v>
      </c>
      <c r="O13" s="8" t="n">
        <v>5</v>
      </c>
      <c r="P13" s="8" t="s">
        <v>86</v>
      </c>
      <c r="Q13" s="8" t="s">
        <v>75</v>
      </c>
      <c r="R13" s="8" t="s">
        <v>75</v>
      </c>
    </row>
    <row r="14" customFormat="false" ht="29.85" hidden="false" customHeight="false" outlineLevel="0" collapsed="false">
      <c r="A14" s="8" t="s">
        <v>191</v>
      </c>
      <c r="B14" s="8" t="n">
        <v>2</v>
      </c>
      <c r="C14" s="9" t="s">
        <v>170</v>
      </c>
      <c r="D14" s="9" t="s">
        <v>192</v>
      </c>
      <c r="E14" s="9" t="s">
        <v>193</v>
      </c>
      <c r="F14" s="9" t="s">
        <v>194</v>
      </c>
      <c r="G14" s="8" t="s">
        <v>195</v>
      </c>
      <c r="H14" s="9" t="s">
        <v>196</v>
      </c>
      <c r="I14" s="9" t="s">
        <v>197</v>
      </c>
      <c r="J14" s="9" t="s">
        <v>143</v>
      </c>
      <c r="K14" s="8"/>
      <c r="L14" s="14" t="s">
        <v>178</v>
      </c>
      <c r="M14" s="9" t="s">
        <v>198</v>
      </c>
      <c r="N14" s="9" t="s">
        <v>199</v>
      </c>
      <c r="O14" s="8" t="n">
        <v>5</v>
      </c>
      <c r="P14" s="8" t="s">
        <v>86</v>
      </c>
      <c r="Q14" s="8" t="s">
        <v>75</v>
      </c>
      <c r="R14" s="8" t="s">
        <v>75</v>
      </c>
    </row>
    <row r="15" customFormat="false" ht="29.85" hidden="false" customHeight="false" outlineLevel="0" collapsed="false">
      <c r="A15" s="8" t="s">
        <v>200</v>
      </c>
      <c r="B15" s="8" t="n">
        <v>2</v>
      </c>
      <c r="C15" s="9" t="s">
        <v>170</v>
      </c>
      <c r="D15" s="9" t="s">
        <v>201</v>
      </c>
      <c r="E15" s="9" t="s">
        <v>202</v>
      </c>
      <c r="F15" s="9" t="s">
        <v>203</v>
      </c>
      <c r="G15" s="8" t="s">
        <v>204</v>
      </c>
      <c r="H15" s="9" t="s">
        <v>205</v>
      </c>
      <c r="I15" s="9" t="s">
        <v>206</v>
      </c>
      <c r="J15" s="9" t="s">
        <v>207</v>
      </c>
      <c r="K15" s="8"/>
      <c r="L15" s="14" t="s">
        <v>178</v>
      </c>
      <c r="M15" s="9" t="s">
        <v>208</v>
      </c>
      <c r="N15" s="9" t="s">
        <v>209</v>
      </c>
      <c r="O15" s="8" t="n">
        <v>5</v>
      </c>
      <c r="P15" s="8" t="s">
        <v>86</v>
      </c>
      <c r="Q15" s="8" t="s">
        <v>75</v>
      </c>
      <c r="R15" s="8" t="s">
        <v>75</v>
      </c>
    </row>
    <row r="16" customFormat="false" ht="29.85" hidden="false" customHeight="false" outlineLevel="0" collapsed="false">
      <c r="A16" s="8" t="s">
        <v>210</v>
      </c>
      <c r="B16" s="8" t="n">
        <v>2</v>
      </c>
      <c r="C16" s="9" t="s">
        <v>170</v>
      </c>
      <c r="D16" s="9" t="s">
        <v>211</v>
      </c>
      <c r="E16" s="9" t="s">
        <v>212</v>
      </c>
      <c r="F16" s="9" t="s">
        <v>213</v>
      </c>
      <c r="G16" s="8" t="s">
        <v>214</v>
      </c>
      <c r="H16" s="8" t="s">
        <v>215</v>
      </c>
      <c r="I16" s="9" t="s">
        <v>216</v>
      </c>
      <c r="J16" s="9" t="s">
        <v>217</v>
      </c>
      <c r="K16" s="8"/>
      <c r="L16" s="14" t="s">
        <v>178</v>
      </c>
      <c r="M16" s="9" t="s">
        <v>218</v>
      </c>
      <c r="N16" s="9" t="s">
        <v>219</v>
      </c>
      <c r="O16" s="8" t="n">
        <v>5</v>
      </c>
      <c r="P16" s="8" t="s">
        <v>86</v>
      </c>
      <c r="Q16" s="8" t="s">
        <v>75</v>
      </c>
      <c r="R16" s="8" t="s">
        <v>75</v>
      </c>
    </row>
    <row r="17" customFormat="false" ht="29.85" hidden="false" customHeight="false" outlineLevel="0" collapsed="false">
      <c r="A17" s="8" t="s">
        <v>220</v>
      </c>
      <c r="B17" s="8" t="n">
        <v>2</v>
      </c>
      <c r="C17" s="9" t="s">
        <v>170</v>
      </c>
      <c r="D17" s="9" t="s">
        <v>221</v>
      </c>
      <c r="E17" s="8" t="s">
        <v>222</v>
      </c>
      <c r="F17" s="8" t="s">
        <v>223</v>
      </c>
      <c r="G17" s="8" t="s">
        <v>224</v>
      </c>
      <c r="H17" s="9" t="s">
        <v>225</v>
      </c>
      <c r="I17" s="9" t="s">
        <v>226</v>
      </c>
      <c r="J17" s="9" t="s">
        <v>227</v>
      </c>
      <c r="K17" s="8"/>
      <c r="L17" s="10" t="s">
        <v>71</v>
      </c>
      <c r="M17" s="9" t="s">
        <v>228</v>
      </c>
      <c r="N17" s="9" t="s">
        <v>229</v>
      </c>
      <c r="O17" s="8" t="n">
        <v>5</v>
      </c>
      <c r="P17" s="8" t="s">
        <v>86</v>
      </c>
      <c r="Q17" s="8" t="s">
        <v>75</v>
      </c>
      <c r="R17" s="8" t="s">
        <v>75</v>
      </c>
    </row>
    <row r="18" customFormat="false" ht="29.85" hidden="false" customHeight="false" outlineLevel="0" collapsed="false">
      <c r="A18" s="8" t="s">
        <v>230</v>
      </c>
      <c r="B18" s="8" t="n">
        <v>2</v>
      </c>
      <c r="C18" s="9" t="s">
        <v>170</v>
      </c>
      <c r="D18" s="9" t="s">
        <v>231</v>
      </c>
      <c r="E18" s="9" t="s">
        <v>232</v>
      </c>
      <c r="F18" s="9" t="s">
        <v>233</v>
      </c>
      <c r="G18" s="8" t="s">
        <v>234</v>
      </c>
      <c r="H18" s="9" t="s">
        <v>235</v>
      </c>
      <c r="I18" s="9" t="s">
        <v>236</v>
      </c>
      <c r="J18" s="9" t="s">
        <v>143</v>
      </c>
      <c r="K18" s="8"/>
      <c r="L18" s="10" t="s">
        <v>71</v>
      </c>
      <c r="M18" s="9" t="s">
        <v>237</v>
      </c>
      <c r="N18" s="9" t="s">
        <v>238</v>
      </c>
      <c r="O18" s="8" t="n">
        <v>5</v>
      </c>
      <c r="P18" s="8" t="s">
        <v>86</v>
      </c>
      <c r="Q18" s="8" t="s">
        <v>75</v>
      </c>
      <c r="R18" s="8" t="s">
        <v>75</v>
      </c>
    </row>
    <row r="19" customFormat="false" ht="29.85" hidden="false" customHeight="false" outlineLevel="0" collapsed="false">
      <c r="A19" s="8" t="s">
        <v>239</v>
      </c>
      <c r="B19" s="8" t="n">
        <v>2</v>
      </c>
      <c r="C19" s="9" t="s">
        <v>170</v>
      </c>
      <c r="D19" s="9" t="s">
        <v>240</v>
      </c>
      <c r="E19" s="9" t="s">
        <v>241</v>
      </c>
      <c r="F19" s="9" t="s">
        <v>242</v>
      </c>
      <c r="G19" s="8" t="s">
        <v>243</v>
      </c>
      <c r="H19" s="8" t="s">
        <v>244</v>
      </c>
      <c r="I19" s="9" t="s">
        <v>245</v>
      </c>
      <c r="J19" s="9" t="s">
        <v>246</v>
      </c>
      <c r="K19" s="8"/>
      <c r="L19" s="14" t="s">
        <v>178</v>
      </c>
      <c r="M19" s="8" t="s">
        <v>247</v>
      </c>
      <c r="N19" s="9" t="s">
        <v>248</v>
      </c>
      <c r="O19" s="8" t="n">
        <v>5</v>
      </c>
      <c r="P19" s="8" t="s">
        <v>86</v>
      </c>
      <c r="Q19" s="8" t="s">
        <v>75</v>
      </c>
      <c r="R19" s="8" t="s">
        <v>75</v>
      </c>
    </row>
    <row r="20" customFormat="false" ht="29.85" hidden="false" customHeight="false" outlineLevel="0" collapsed="false">
      <c r="A20" s="8" t="s">
        <v>249</v>
      </c>
      <c r="B20" s="8" t="n">
        <v>2</v>
      </c>
      <c r="C20" s="9" t="s">
        <v>170</v>
      </c>
      <c r="D20" s="9" t="s">
        <v>250</v>
      </c>
      <c r="E20" s="9" t="s">
        <v>251</v>
      </c>
      <c r="F20" s="9" t="s">
        <v>252</v>
      </c>
      <c r="G20" s="8" t="s">
        <v>253</v>
      </c>
      <c r="H20" s="9" t="s">
        <v>254</v>
      </c>
      <c r="I20" s="9" t="s">
        <v>255</v>
      </c>
      <c r="J20" s="9" t="s">
        <v>256</v>
      </c>
      <c r="K20" s="8"/>
      <c r="L20" s="10" t="s">
        <v>71</v>
      </c>
      <c r="M20" s="9" t="s">
        <v>257</v>
      </c>
      <c r="N20" s="9" t="s">
        <v>258</v>
      </c>
      <c r="O20" s="8" t="n">
        <v>5</v>
      </c>
      <c r="P20" s="8" t="s">
        <v>86</v>
      </c>
      <c r="Q20" s="8" t="s">
        <v>75</v>
      </c>
      <c r="R20" s="8" t="s">
        <v>75</v>
      </c>
    </row>
    <row r="21" customFormat="false" ht="29.85" hidden="false" customHeight="false" outlineLevel="0" collapsed="false">
      <c r="A21" s="8" t="s">
        <v>259</v>
      </c>
      <c r="B21" s="8" t="n">
        <v>2</v>
      </c>
      <c r="C21" s="9" t="s">
        <v>170</v>
      </c>
      <c r="D21" s="9" t="s">
        <v>260</v>
      </c>
      <c r="E21" s="9" t="s">
        <v>261</v>
      </c>
      <c r="F21" s="9" t="s">
        <v>262</v>
      </c>
      <c r="G21" s="8" t="s">
        <v>263</v>
      </c>
      <c r="H21" s="9" t="s">
        <v>264</v>
      </c>
      <c r="I21" s="9" t="s">
        <v>265</v>
      </c>
      <c r="J21" s="9" t="s">
        <v>266</v>
      </c>
      <c r="K21" s="8"/>
      <c r="L21" s="10" t="s">
        <v>71</v>
      </c>
      <c r="M21" s="9" t="s">
        <v>267</v>
      </c>
      <c r="N21" s="9" t="s">
        <v>268</v>
      </c>
      <c r="O21" s="8" t="n">
        <v>5</v>
      </c>
      <c r="P21" s="15" t="s">
        <v>269</v>
      </c>
      <c r="Q21" s="8" t="s">
        <v>75</v>
      </c>
      <c r="R21" s="8" t="s">
        <v>75</v>
      </c>
    </row>
    <row r="22" customFormat="false" ht="29.85" hidden="false" customHeight="false" outlineLevel="0" collapsed="false">
      <c r="A22" s="8" t="s">
        <v>270</v>
      </c>
      <c r="B22" s="8" t="n">
        <v>3</v>
      </c>
      <c r="C22" s="9" t="s">
        <v>271</v>
      </c>
      <c r="D22" s="9" t="s">
        <v>272</v>
      </c>
      <c r="E22" s="9" t="s">
        <v>273</v>
      </c>
      <c r="F22" s="9" t="s">
        <v>274</v>
      </c>
      <c r="G22" s="8" t="s">
        <v>275</v>
      </c>
      <c r="H22" s="9" t="s">
        <v>276</v>
      </c>
      <c r="I22" s="9" t="s">
        <v>277</v>
      </c>
      <c r="J22" s="9" t="s">
        <v>278</v>
      </c>
      <c r="K22" s="8"/>
      <c r="L22" s="10" t="s">
        <v>71</v>
      </c>
      <c r="M22" s="9" t="s">
        <v>279</v>
      </c>
      <c r="N22" s="9" t="s">
        <v>280</v>
      </c>
      <c r="O22" s="8" t="n">
        <v>5</v>
      </c>
      <c r="P22" s="15" t="s">
        <v>269</v>
      </c>
      <c r="Q22" s="8" t="s">
        <v>126</v>
      </c>
      <c r="R22" s="8" t="s">
        <v>126</v>
      </c>
    </row>
    <row r="23" customFormat="false" ht="29.85" hidden="false" customHeight="false" outlineLevel="0" collapsed="false">
      <c r="A23" s="8" t="s">
        <v>281</v>
      </c>
      <c r="B23" s="8" t="n">
        <v>3</v>
      </c>
      <c r="C23" s="9" t="s">
        <v>271</v>
      </c>
      <c r="D23" s="9" t="s">
        <v>282</v>
      </c>
      <c r="E23" s="9" t="s">
        <v>283</v>
      </c>
      <c r="F23" s="9" t="s">
        <v>284</v>
      </c>
      <c r="G23" s="8" t="s">
        <v>285</v>
      </c>
      <c r="H23" s="9" t="s">
        <v>286</v>
      </c>
      <c r="I23" s="9" t="s">
        <v>287</v>
      </c>
      <c r="J23" s="9" t="s">
        <v>288</v>
      </c>
      <c r="K23" s="8"/>
      <c r="L23" s="10" t="s">
        <v>71</v>
      </c>
      <c r="M23" s="9" t="s">
        <v>289</v>
      </c>
      <c r="N23" s="9" t="s">
        <v>290</v>
      </c>
      <c r="O23" s="8" t="n">
        <v>5</v>
      </c>
      <c r="P23" s="8" t="s">
        <v>86</v>
      </c>
      <c r="Q23" s="8" t="s">
        <v>75</v>
      </c>
      <c r="R23" s="8" t="s">
        <v>75</v>
      </c>
    </row>
    <row r="24" customFormat="false" ht="15" hidden="false" customHeight="false" outlineLevel="0" collapsed="false">
      <c r="A24" s="8" t="s">
        <v>291</v>
      </c>
      <c r="B24" s="8" t="n">
        <v>3</v>
      </c>
      <c r="C24" s="9" t="s">
        <v>271</v>
      </c>
      <c r="D24" s="8" t="s">
        <v>292</v>
      </c>
      <c r="E24" s="8" t="s">
        <v>293</v>
      </c>
      <c r="F24" s="9" t="s">
        <v>294</v>
      </c>
      <c r="G24" s="8" t="s">
        <v>295</v>
      </c>
      <c r="H24" s="9" t="s">
        <v>296</v>
      </c>
      <c r="I24" s="9" t="s">
        <v>297</v>
      </c>
      <c r="J24" s="9" t="s">
        <v>298</v>
      </c>
      <c r="K24" s="8"/>
      <c r="L24" s="10" t="s">
        <v>71</v>
      </c>
      <c r="M24" s="8" t="s">
        <v>299</v>
      </c>
      <c r="N24" s="9" t="s">
        <v>300</v>
      </c>
      <c r="O24" s="8" t="n">
        <v>5</v>
      </c>
      <c r="P24" s="8" t="s">
        <v>86</v>
      </c>
      <c r="Q24" s="8" t="s">
        <v>75</v>
      </c>
      <c r="R24" s="8" t="s">
        <v>75</v>
      </c>
    </row>
    <row r="25" customFormat="false" ht="29.85" hidden="false" customHeight="false" outlineLevel="0" collapsed="false">
      <c r="A25" s="8" t="s">
        <v>301</v>
      </c>
      <c r="B25" s="8" t="n">
        <v>3</v>
      </c>
      <c r="C25" s="9" t="s">
        <v>271</v>
      </c>
      <c r="D25" s="9" t="s">
        <v>302</v>
      </c>
      <c r="E25" s="9" t="s">
        <v>303</v>
      </c>
      <c r="F25" s="9" t="s">
        <v>304</v>
      </c>
      <c r="G25" s="8" t="s">
        <v>305</v>
      </c>
      <c r="H25" s="9" t="s">
        <v>306</v>
      </c>
      <c r="I25" s="9" t="s">
        <v>307</v>
      </c>
      <c r="J25" s="9" t="s">
        <v>308</v>
      </c>
      <c r="K25" s="8"/>
      <c r="L25" s="10" t="s">
        <v>71</v>
      </c>
      <c r="M25" s="9" t="s">
        <v>309</v>
      </c>
      <c r="N25" s="9" t="s">
        <v>310</v>
      </c>
      <c r="O25" s="8" t="n">
        <v>5</v>
      </c>
      <c r="P25" s="8" t="s">
        <v>86</v>
      </c>
      <c r="Q25" s="8" t="s">
        <v>75</v>
      </c>
      <c r="R25" s="8" t="s">
        <v>75</v>
      </c>
    </row>
    <row r="26" customFormat="false" ht="29.85" hidden="false" customHeight="false" outlineLevel="0" collapsed="false">
      <c r="A26" s="8" t="s">
        <v>311</v>
      </c>
      <c r="B26" s="8" t="n">
        <v>3</v>
      </c>
      <c r="C26" s="9" t="s">
        <v>271</v>
      </c>
      <c r="D26" s="9" t="s">
        <v>312</v>
      </c>
      <c r="E26" s="9" t="s">
        <v>313</v>
      </c>
      <c r="F26" s="9" t="s">
        <v>314</v>
      </c>
      <c r="G26" s="8" t="s">
        <v>315</v>
      </c>
      <c r="H26" s="9" t="s">
        <v>316</v>
      </c>
      <c r="I26" s="9" t="s">
        <v>317</v>
      </c>
      <c r="J26" s="9" t="s">
        <v>288</v>
      </c>
      <c r="K26" s="8"/>
      <c r="L26" s="10" t="s">
        <v>71</v>
      </c>
      <c r="M26" s="9" t="s">
        <v>318</v>
      </c>
      <c r="N26" s="9" t="s">
        <v>319</v>
      </c>
      <c r="O26" s="8" t="n">
        <v>5</v>
      </c>
      <c r="P26" s="8" t="s">
        <v>86</v>
      </c>
      <c r="Q26" s="8" t="s">
        <v>75</v>
      </c>
      <c r="R26" s="8" t="s">
        <v>75</v>
      </c>
    </row>
    <row r="27" customFormat="false" ht="29.85" hidden="false" customHeight="false" outlineLevel="0" collapsed="false">
      <c r="A27" s="8" t="s">
        <v>320</v>
      </c>
      <c r="B27" s="8" t="n">
        <v>3</v>
      </c>
      <c r="C27" s="9" t="s">
        <v>271</v>
      </c>
      <c r="D27" s="9" t="s">
        <v>321</v>
      </c>
      <c r="E27" s="9" t="s">
        <v>322</v>
      </c>
      <c r="F27" s="9" t="s">
        <v>323</v>
      </c>
      <c r="G27" s="8" t="s">
        <v>324</v>
      </c>
      <c r="H27" s="9" t="s">
        <v>325</v>
      </c>
      <c r="I27" s="9" t="s">
        <v>326</v>
      </c>
      <c r="J27" s="9" t="s">
        <v>327</v>
      </c>
      <c r="K27" s="8"/>
      <c r="L27" s="10" t="s">
        <v>71</v>
      </c>
      <c r="M27" s="9" t="s">
        <v>328</v>
      </c>
      <c r="N27" s="9" t="s">
        <v>329</v>
      </c>
      <c r="O27" s="8" t="n">
        <v>5</v>
      </c>
      <c r="P27" s="15" t="s">
        <v>269</v>
      </c>
      <c r="Q27" s="8" t="s">
        <v>126</v>
      </c>
      <c r="R27" s="8" t="s">
        <v>75</v>
      </c>
    </row>
    <row r="28" customFormat="false" ht="29.85" hidden="false" customHeight="false" outlineLevel="0" collapsed="false">
      <c r="A28" s="8" t="s">
        <v>330</v>
      </c>
      <c r="B28" s="8" t="n">
        <v>3</v>
      </c>
      <c r="C28" s="9" t="s">
        <v>271</v>
      </c>
      <c r="D28" s="9" t="s">
        <v>331</v>
      </c>
      <c r="E28" s="9" t="s">
        <v>332</v>
      </c>
      <c r="F28" s="9" t="s">
        <v>333</v>
      </c>
      <c r="G28" s="8" t="s">
        <v>334</v>
      </c>
      <c r="H28" s="9" t="s">
        <v>335</v>
      </c>
      <c r="I28" s="9" t="s">
        <v>336</v>
      </c>
      <c r="J28" s="9" t="s">
        <v>337</v>
      </c>
      <c r="K28" s="8"/>
      <c r="L28" s="10" t="s">
        <v>71</v>
      </c>
      <c r="M28" s="9" t="s">
        <v>338</v>
      </c>
      <c r="N28" s="9" t="s">
        <v>339</v>
      </c>
      <c r="O28" s="8" t="n">
        <v>5</v>
      </c>
      <c r="P28" s="15" t="s">
        <v>269</v>
      </c>
      <c r="Q28" s="8" t="s">
        <v>75</v>
      </c>
      <c r="R28" s="8" t="s">
        <v>75</v>
      </c>
    </row>
    <row r="29" customFormat="false" ht="29.85" hidden="false" customHeight="false" outlineLevel="0" collapsed="false">
      <c r="A29" s="8" t="s">
        <v>340</v>
      </c>
      <c r="B29" s="8" t="n">
        <v>3</v>
      </c>
      <c r="C29" s="9" t="s">
        <v>271</v>
      </c>
      <c r="D29" s="9" t="s">
        <v>341</v>
      </c>
      <c r="E29" s="9" t="s">
        <v>342</v>
      </c>
      <c r="F29" s="9" t="s">
        <v>343</v>
      </c>
      <c r="G29" s="8" t="s">
        <v>344</v>
      </c>
      <c r="H29" s="9" t="s">
        <v>345</v>
      </c>
      <c r="I29" s="9" t="s">
        <v>346</v>
      </c>
      <c r="J29" s="9" t="s">
        <v>347</v>
      </c>
      <c r="K29" s="8"/>
      <c r="L29" s="10" t="s">
        <v>71</v>
      </c>
      <c r="M29" s="9" t="s">
        <v>348</v>
      </c>
      <c r="N29" s="9" t="s">
        <v>349</v>
      </c>
      <c r="O29" s="8" t="n">
        <v>5</v>
      </c>
      <c r="P29" s="8" t="s">
        <v>86</v>
      </c>
      <c r="Q29" s="8" t="s">
        <v>75</v>
      </c>
      <c r="R29" s="8" t="s">
        <v>75</v>
      </c>
    </row>
    <row r="30" customFormat="false" ht="29.85" hidden="false" customHeight="false" outlineLevel="0" collapsed="false">
      <c r="A30" s="8" t="s">
        <v>350</v>
      </c>
      <c r="B30" s="8" t="n">
        <v>3</v>
      </c>
      <c r="C30" s="9" t="s">
        <v>271</v>
      </c>
      <c r="D30" s="9" t="s">
        <v>351</v>
      </c>
      <c r="E30" s="9" t="s">
        <v>352</v>
      </c>
      <c r="F30" s="9" t="s">
        <v>353</v>
      </c>
      <c r="G30" s="8" t="s">
        <v>354</v>
      </c>
      <c r="H30" s="9" t="s">
        <v>355</v>
      </c>
      <c r="I30" s="9" t="s">
        <v>356</v>
      </c>
      <c r="J30" s="9" t="s">
        <v>357</v>
      </c>
      <c r="K30" s="8"/>
      <c r="L30" s="10" t="s">
        <v>71</v>
      </c>
      <c r="M30" s="9" t="s">
        <v>358</v>
      </c>
      <c r="N30" s="9" t="s">
        <v>359</v>
      </c>
      <c r="O30" s="8" t="n">
        <v>5</v>
      </c>
      <c r="P30" s="8" t="s">
        <v>86</v>
      </c>
      <c r="Q30" s="8" t="s">
        <v>75</v>
      </c>
      <c r="R30" s="8" t="s">
        <v>75</v>
      </c>
    </row>
    <row r="31" customFormat="false" ht="29.85" hidden="false" customHeight="false" outlineLevel="0" collapsed="false">
      <c r="A31" s="8" t="s">
        <v>360</v>
      </c>
      <c r="B31" s="8" t="n">
        <v>3</v>
      </c>
      <c r="C31" s="9" t="s">
        <v>271</v>
      </c>
      <c r="D31" s="9" t="s">
        <v>361</v>
      </c>
      <c r="E31" s="9" t="s">
        <v>362</v>
      </c>
      <c r="F31" s="9" t="s">
        <v>363</v>
      </c>
      <c r="G31" s="8" t="s">
        <v>364</v>
      </c>
      <c r="H31" s="9" t="s">
        <v>365</v>
      </c>
      <c r="I31" s="9" t="s">
        <v>366</v>
      </c>
      <c r="J31" s="9" t="s">
        <v>367</v>
      </c>
      <c r="K31" s="8"/>
      <c r="L31" s="10" t="s">
        <v>71</v>
      </c>
      <c r="M31" s="9" t="s">
        <v>368</v>
      </c>
      <c r="N31" s="9" t="s">
        <v>369</v>
      </c>
      <c r="O31" s="8" t="n">
        <v>5</v>
      </c>
      <c r="P31" s="8" t="s">
        <v>86</v>
      </c>
      <c r="Q31" s="8" t="s">
        <v>75</v>
      </c>
      <c r="R31" s="8" t="s">
        <v>75</v>
      </c>
    </row>
    <row r="32" customFormat="false" ht="44" hidden="false" customHeight="false" outlineLevel="0" collapsed="false">
      <c r="A32" s="8" t="s">
        <v>370</v>
      </c>
      <c r="B32" s="8" t="n">
        <v>4</v>
      </c>
      <c r="C32" s="9" t="s">
        <v>371</v>
      </c>
      <c r="D32" s="9" t="s">
        <v>372</v>
      </c>
      <c r="E32" s="9" t="s">
        <v>373</v>
      </c>
      <c r="F32" s="9" t="s">
        <v>374</v>
      </c>
      <c r="G32" s="8" t="s">
        <v>375</v>
      </c>
      <c r="H32" s="9" t="s">
        <v>376</v>
      </c>
      <c r="I32" s="9" t="s">
        <v>377</v>
      </c>
      <c r="J32" s="9" t="s">
        <v>378</v>
      </c>
      <c r="K32" s="8"/>
      <c r="L32" s="14" t="s">
        <v>178</v>
      </c>
      <c r="M32" s="9" t="s">
        <v>379</v>
      </c>
      <c r="N32" s="9" t="s">
        <v>380</v>
      </c>
      <c r="O32" s="8" t="n">
        <v>5</v>
      </c>
      <c r="P32" s="15" t="s">
        <v>269</v>
      </c>
      <c r="Q32" s="8" t="s">
        <v>126</v>
      </c>
      <c r="R32" s="8" t="s">
        <v>126</v>
      </c>
    </row>
    <row r="33" customFormat="false" ht="15" hidden="false" customHeight="false" outlineLevel="0" collapsed="false">
      <c r="A33" s="8" t="s">
        <v>381</v>
      </c>
      <c r="B33" s="8" t="n">
        <v>4</v>
      </c>
      <c r="C33" s="9" t="s">
        <v>371</v>
      </c>
      <c r="D33" s="9" t="s">
        <v>382</v>
      </c>
      <c r="E33" s="9" t="s">
        <v>383</v>
      </c>
      <c r="F33" s="9" t="s">
        <v>384</v>
      </c>
      <c r="G33" s="8" t="s">
        <v>385</v>
      </c>
      <c r="H33" s="9" t="s">
        <v>386</v>
      </c>
      <c r="I33" s="9" t="s">
        <v>387</v>
      </c>
      <c r="J33" s="9" t="s">
        <v>388</v>
      </c>
      <c r="K33" s="8"/>
      <c r="L33" s="14" t="s">
        <v>178</v>
      </c>
      <c r="M33" s="9" t="s">
        <v>389</v>
      </c>
      <c r="N33" s="9" t="s">
        <v>390</v>
      </c>
      <c r="O33" s="8" t="n">
        <v>5</v>
      </c>
      <c r="P33" s="8" t="s">
        <v>86</v>
      </c>
      <c r="Q33" s="8" t="s">
        <v>75</v>
      </c>
      <c r="R33" s="8" t="s">
        <v>75</v>
      </c>
    </row>
    <row r="34" customFormat="false" ht="29.85" hidden="false" customHeight="false" outlineLevel="0" collapsed="false">
      <c r="A34" s="8" t="s">
        <v>391</v>
      </c>
      <c r="B34" s="8" t="n">
        <v>4</v>
      </c>
      <c r="C34" s="9" t="s">
        <v>371</v>
      </c>
      <c r="D34" s="9" t="s">
        <v>392</v>
      </c>
      <c r="E34" s="9" t="s">
        <v>393</v>
      </c>
      <c r="F34" s="9" t="s">
        <v>394</v>
      </c>
      <c r="G34" s="8" t="s">
        <v>395</v>
      </c>
      <c r="H34" s="9" t="s">
        <v>396</v>
      </c>
      <c r="I34" s="9" t="s">
        <v>397</v>
      </c>
      <c r="J34" s="9" t="s">
        <v>398</v>
      </c>
      <c r="K34" s="8"/>
      <c r="L34" s="14" t="s">
        <v>178</v>
      </c>
      <c r="M34" s="9" t="s">
        <v>399</v>
      </c>
      <c r="N34" s="9" t="s">
        <v>400</v>
      </c>
      <c r="O34" s="8" t="n">
        <v>5</v>
      </c>
      <c r="P34" s="11" t="s">
        <v>74</v>
      </c>
      <c r="Q34" s="8" t="s">
        <v>126</v>
      </c>
      <c r="R34" s="8" t="s">
        <v>126</v>
      </c>
    </row>
    <row r="35" customFormat="false" ht="29.85" hidden="false" customHeight="false" outlineLevel="0" collapsed="false">
      <c r="A35" s="8" t="s">
        <v>401</v>
      </c>
      <c r="B35" s="8" t="n">
        <v>4</v>
      </c>
      <c r="C35" s="9" t="s">
        <v>371</v>
      </c>
      <c r="D35" s="9" t="s">
        <v>402</v>
      </c>
      <c r="E35" s="9" t="s">
        <v>403</v>
      </c>
      <c r="F35" s="9" t="s">
        <v>404</v>
      </c>
      <c r="G35" s="8" t="s">
        <v>405</v>
      </c>
      <c r="H35" s="9" t="s">
        <v>406</v>
      </c>
      <c r="I35" s="9" t="s">
        <v>407</v>
      </c>
      <c r="J35" s="9" t="s">
        <v>408</v>
      </c>
      <c r="K35" s="8"/>
      <c r="L35" s="10" t="s">
        <v>71</v>
      </c>
      <c r="M35" s="9" t="s">
        <v>409</v>
      </c>
      <c r="N35" s="9" t="s">
        <v>410</v>
      </c>
      <c r="O35" s="8" t="n">
        <v>5</v>
      </c>
      <c r="P35" s="8" t="s">
        <v>86</v>
      </c>
      <c r="Q35" s="8" t="s">
        <v>75</v>
      </c>
      <c r="R35" s="8" t="s">
        <v>75</v>
      </c>
    </row>
    <row r="36" customFormat="false" ht="29.85" hidden="false" customHeight="false" outlineLevel="0" collapsed="false">
      <c r="A36" s="8" t="s">
        <v>411</v>
      </c>
      <c r="B36" s="8" t="n">
        <v>4</v>
      </c>
      <c r="C36" s="9" t="s">
        <v>371</v>
      </c>
      <c r="D36" s="9" t="s">
        <v>412</v>
      </c>
      <c r="E36" s="9" t="s">
        <v>413</v>
      </c>
      <c r="F36" s="9" t="s">
        <v>414</v>
      </c>
      <c r="G36" s="8" t="s">
        <v>415</v>
      </c>
      <c r="H36" s="8" t="s">
        <v>416</v>
      </c>
      <c r="I36" s="9" t="s">
        <v>417</v>
      </c>
      <c r="J36" s="9" t="s">
        <v>418</v>
      </c>
      <c r="K36" s="8"/>
      <c r="L36" s="10" t="s">
        <v>71</v>
      </c>
      <c r="M36" s="9" t="s">
        <v>419</v>
      </c>
      <c r="N36" s="9" t="s">
        <v>420</v>
      </c>
      <c r="O36" s="8" t="n">
        <v>5</v>
      </c>
      <c r="P36" s="8" t="s">
        <v>86</v>
      </c>
      <c r="Q36" s="8" t="s">
        <v>75</v>
      </c>
      <c r="R36" s="8" t="s">
        <v>75</v>
      </c>
    </row>
    <row r="37" customFormat="false" ht="29.85" hidden="false" customHeight="false" outlineLevel="0" collapsed="false">
      <c r="A37" s="8" t="s">
        <v>421</v>
      </c>
      <c r="B37" s="8" t="n">
        <v>4</v>
      </c>
      <c r="C37" s="9" t="s">
        <v>371</v>
      </c>
      <c r="D37" s="9" t="s">
        <v>422</v>
      </c>
      <c r="E37" s="9" t="s">
        <v>423</v>
      </c>
      <c r="F37" s="9" t="s">
        <v>424</v>
      </c>
      <c r="G37" s="8" t="s">
        <v>425</v>
      </c>
      <c r="H37" s="9" t="s">
        <v>426</v>
      </c>
      <c r="I37" s="9" t="s">
        <v>427</v>
      </c>
      <c r="J37" s="9" t="s">
        <v>337</v>
      </c>
      <c r="K37" s="8"/>
      <c r="L37" s="10" t="s">
        <v>71</v>
      </c>
      <c r="M37" s="9" t="s">
        <v>428</v>
      </c>
      <c r="N37" s="9" t="s">
        <v>429</v>
      </c>
      <c r="O37" s="8" t="n">
        <v>5</v>
      </c>
      <c r="P37" s="15" t="s">
        <v>269</v>
      </c>
      <c r="Q37" s="8" t="s">
        <v>126</v>
      </c>
      <c r="R37" s="8" t="s">
        <v>126</v>
      </c>
    </row>
    <row r="38" customFormat="false" ht="29.85" hidden="false" customHeight="false" outlineLevel="0" collapsed="false">
      <c r="A38" s="8" t="s">
        <v>430</v>
      </c>
      <c r="B38" s="8" t="n">
        <v>4</v>
      </c>
      <c r="C38" s="9" t="s">
        <v>371</v>
      </c>
      <c r="D38" s="9" t="s">
        <v>431</v>
      </c>
      <c r="E38" s="9" t="s">
        <v>432</v>
      </c>
      <c r="F38" s="9" t="s">
        <v>433</v>
      </c>
      <c r="G38" s="8" t="s">
        <v>434</v>
      </c>
      <c r="H38" s="9" t="s">
        <v>435</v>
      </c>
      <c r="I38" s="9" t="s">
        <v>436</v>
      </c>
      <c r="J38" s="9" t="s">
        <v>437</v>
      </c>
      <c r="K38" s="8"/>
      <c r="L38" s="14" t="s">
        <v>178</v>
      </c>
      <c r="M38" s="9" t="s">
        <v>438</v>
      </c>
      <c r="N38" s="9" t="s">
        <v>439</v>
      </c>
      <c r="O38" s="8" t="n">
        <v>5</v>
      </c>
      <c r="P38" s="8" t="s">
        <v>86</v>
      </c>
      <c r="Q38" s="8" t="s">
        <v>75</v>
      </c>
      <c r="R38" s="8" t="s">
        <v>75</v>
      </c>
    </row>
    <row r="39" customFormat="false" ht="29.85" hidden="false" customHeight="false" outlineLevel="0" collapsed="false">
      <c r="A39" s="8" t="s">
        <v>440</v>
      </c>
      <c r="B39" s="8" t="n">
        <v>4</v>
      </c>
      <c r="C39" s="9" t="s">
        <v>371</v>
      </c>
      <c r="D39" s="9" t="s">
        <v>441</v>
      </c>
      <c r="E39" s="9" t="s">
        <v>442</v>
      </c>
      <c r="F39" s="9" t="s">
        <v>443</v>
      </c>
      <c r="G39" s="8" t="s">
        <v>444</v>
      </c>
      <c r="H39" s="9" t="s">
        <v>445</v>
      </c>
      <c r="I39" s="9" t="s">
        <v>446</v>
      </c>
      <c r="J39" s="9" t="s">
        <v>447</v>
      </c>
      <c r="K39" s="8"/>
      <c r="L39" s="14" t="s">
        <v>178</v>
      </c>
      <c r="M39" s="9" t="s">
        <v>448</v>
      </c>
      <c r="N39" s="9" t="s">
        <v>449</v>
      </c>
      <c r="O39" s="8" t="n">
        <v>5</v>
      </c>
      <c r="P39" s="8" t="s">
        <v>86</v>
      </c>
      <c r="Q39" s="8" t="s">
        <v>75</v>
      </c>
      <c r="R39" s="8" t="s">
        <v>75</v>
      </c>
    </row>
    <row r="40" customFormat="false" ht="29.85" hidden="false" customHeight="false" outlineLevel="0" collapsed="false">
      <c r="A40" s="8" t="s">
        <v>450</v>
      </c>
      <c r="B40" s="8" t="n">
        <v>4</v>
      </c>
      <c r="C40" s="9" t="s">
        <v>371</v>
      </c>
      <c r="D40" s="9" t="s">
        <v>451</v>
      </c>
      <c r="E40" s="9" t="s">
        <v>452</v>
      </c>
      <c r="F40" s="9" t="s">
        <v>453</v>
      </c>
      <c r="G40" s="8" t="s">
        <v>454</v>
      </c>
      <c r="H40" s="9" t="s">
        <v>455</v>
      </c>
      <c r="I40" s="9" t="s">
        <v>456</v>
      </c>
      <c r="J40" s="9" t="s">
        <v>398</v>
      </c>
      <c r="K40" s="8"/>
      <c r="L40" s="14" t="s">
        <v>178</v>
      </c>
      <c r="M40" s="9" t="s">
        <v>457</v>
      </c>
      <c r="N40" s="9" t="s">
        <v>458</v>
      </c>
      <c r="O40" s="8" t="n">
        <v>5</v>
      </c>
      <c r="P40" s="8" t="s">
        <v>86</v>
      </c>
      <c r="Q40" s="8" t="s">
        <v>75</v>
      </c>
      <c r="R40" s="8" t="s">
        <v>75</v>
      </c>
    </row>
    <row r="41" customFormat="false" ht="29.85" hidden="false" customHeight="false" outlineLevel="0" collapsed="false">
      <c r="A41" s="8" t="s">
        <v>459</v>
      </c>
      <c r="B41" s="8" t="n">
        <v>4</v>
      </c>
      <c r="C41" s="9" t="s">
        <v>371</v>
      </c>
      <c r="D41" s="9" t="s">
        <v>460</v>
      </c>
      <c r="E41" s="9" t="s">
        <v>461</v>
      </c>
      <c r="F41" s="9" t="s">
        <v>462</v>
      </c>
      <c r="G41" s="8" t="s">
        <v>463</v>
      </c>
      <c r="H41" s="9" t="s">
        <v>464</v>
      </c>
      <c r="I41" s="9" t="s">
        <v>465</v>
      </c>
      <c r="J41" s="9" t="s">
        <v>466</v>
      </c>
      <c r="K41" s="8"/>
      <c r="L41" s="10" t="s">
        <v>71</v>
      </c>
      <c r="M41" s="9" t="s">
        <v>467</v>
      </c>
      <c r="N41" s="9" t="s">
        <v>468</v>
      </c>
      <c r="O41" s="8" t="n">
        <v>6</v>
      </c>
      <c r="P41" s="15" t="s">
        <v>269</v>
      </c>
      <c r="Q41" s="8" t="s">
        <v>126</v>
      </c>
      <c r="R41" s="8" t="s">
        <v>126</v>
      </c>
    </row>
    <row r="42" customFormat="false" ht="29.85" hidden="false" customHeight="false" outlineLevel="0" collapsed="false">
      <c r="A42" s="8" t="s">
        <v>469</v>
      </c>
      <c r="B42" s="8" t="n">
        <v>5</v>
      </c>
      <c r="C42" s="9" t="s">
        <v>470</v>
      </c>
      <c r="D42" s="9" t="s">
        <v>471</v>
      </c>
      <c r="E42" s="9" t="s">
        <v>472</v>
      </c>
      <c r="F42" s="9" t="s">
        <v>473</v>
      </c>
      <c r="G42" s="8" t="s">
        <v>474</v>
      </c>
      <c r="H42" s="9" t="s">
        <v>475</v>
      </c>
      <c r="I42" s="9" t="s">
        <v>476</v>
      </c>
      <c r="J42" s="9" t="s">
        <v>477</v>
      </c>
      <c r="K42" s="8"/>
      <c r="L42" s="14" t="s">
        <v>178</v>
      </c>
      <c r="M42" s="9" t="s">
        <v>478</v>
      </c>
      <c r="N42" s="9" t="s">
        <v>479</v>
      </c>
      <c r="O42" s="8" t="n">
        <v>5</v>
      </c>
      <c r="P42" s="11" t="s">
        <v>74</v>
      </c>
      <c r="Q42" s="8" t="s">
        <v>126</v>
      </c>
      <c r="R42" s="8" t="s">
        <v>126</v>
      </c>
    </row>
    <row r="43" customFormat="false" ht="29.85" hidden="false" customHeight="false" outlineLevel="0" collapsed="false">
      <c r="A43" s="8" t="s">
        <v>480</v>
      </c>
      <c r="B43" s="8" t="n">
        <v>5</v>
      </c>
      <c r="C43" s="9" t="s">
        <v>470</v>
      </c>
      <c r="D43" s="8" t="s">
        <v>481</v>
      </c>
      <c r="E43" s="8" t="s">
        <v>482</v>
      </c>
      <c r="F43" s="9" t="s">
        <v>483</v>
      </c>
      <c r="G43" s="8" t="s">
        <v>484</v>
      </c>
      <c r="H43" s="8" t="s">
        <v>485</v>
      </c>
      <c r="I43" s="8" t="s">
        <v>486</v>
      </c>
      <c r="J43" s="9" t="s">
        <v>477</v>
      </c>
      <c r="K43" s="8"/>
      <c r="L43" s="14" t="s">
        <v>178</v>
      </c>
      <c r="M43" s="9" t="s">
        <v>487</v>
      </c>
      <c r="N43" s="9" t="s">
        <v>488</v>
      </c>
      <c r="O43" s="8" t="n">
        <v>5</v>
      </c>
      <c r="P43" s="15" t="s">
        <v>269</v>
      </c>
      <c r="Q43" s="8" t="s">
        <v>126</v>
      </c>
      <c r="R43" s="8" t="s">
        <v>126</v>
      </c>
    </row>
    <row r="44" customFormat="false" ht="29.85" hidden="false" customHeight="false" outlineLevel="0" collapsed="false">
      <c r="A44" s="8" t="s">
        <v>489</v>
      </c>
      <c r="B44" s="8" t="n">
        <v>5</v>
      </c>
      <c r="C44" s="9" t="s">
        <v>470</v>
      </c>
      <c r="D44" s="9" t="s">
        <v>490</v>
      </c>
      <c r="E44" s="8" t="s">
        <v>491</v>
      </c>
      <c r="F44" s="8" t="s">
        <v>492</v>
      </c>
      <c r="G44" s="8" t="s">
        <v>493</v>
      </c>
      <c r="H44" s="9" t="s">
        <v>494</v>
      </c>
      <c r="I44" s="9" t="s">
        <v>495</v>
      </c>
      <c r="J44" s="9" t="s">
        <v>496</v>
      </c>
      <c r="K44" s="8"/>
      <c r="L44" s="10" t="s">
        <v>71</v>
      </c>
      <c r="M44" s="9" t="s">
        <v>497</v>
      </c>
      <c r="N44" s="9" t="s">
        <v>498</v>
      </c>
      <c r="O44" s="8" t="n">
        <v>5</v>
      </c>
      <c r="P44" s="8" t="s">
        <v>86</v>
      </c>
      <c r="Q44" s="8" t="s">
        <v>75</v>
      </c>
      <c r="R44" s="8" t="s">
        <v>75</v>
      </c>
    </row>
    <row r="45" customFormat="false" ht="29.85" hidden="false" customHeight="false" outlineLevel="0" collapsed="false">
      <c r="A45" s="8" t="s">
        <v>499</v>
      </c>
      <c r="B45" s="8" t="n">
        <v>5</v>
      </c>
      <c r="C45" s="9" t="s">
        <v>470</v>
      </c>
      <c r="D45" s="9" t="s">
        <v>500</v>
      </c>
      <c r="E45" s="9" t="s">
        <v>501</v>
      </c>
      <c r="F45" s="9" t="s">
        <v>502</v>
      </c>
      <c r="G45" s="8" t="s">
        <v>503</v>
      </c>
      <c r="H45" s="9" t="s">
        <v>504</v>
      </c>
      <c r="I45" s="9" t="s">
        <v>505</v>
      </c>
      <c r="J45" s="9" t="s">
        <v>506</v>
      </c>
      <c r="K45" s="8"/>
      <c r="L45" s="14" t="s">
        <v>178</v>
      </c>
      <c r="M45" s="9" t="s">
        <v>507</v>
      </c>
      <c r="N45" s="9" t="s">
        <v>508</v>
      </c>
      <c r="O45" s="8" t="n">
        <v>5</v>
      </c>
      <c r="P45" s="8" t="s">
        <v>86</v>
      </c>
      <c r="Q45" s="8" t="s">
        <v>75</v>
      </c>
      <c r="R45" s="8" t="s">
        <v>75</v>
      </c>
    </row>
    <row r="46" customFormat="false" ht="29.85" hidden="false" customHeight="false" outlineLevel="0" collapsed="false">
      <c r="A46" s="8" t="s">
        <v>509</v>
      </c>
      <c r="B46" s="8" t="n">
        <v>5</v>
      </c>
      <c r="C46" s="9" t="s">
        <v>470</v>
      </c>
      <c r="D46" s="9" t="s">
        <v>510</v>
      </c>
      <c r="E46" s="9" t="s">
        <v>511</v>
      </c>
      <c r="F46" s="9" t="s">
        <v>512</v>
      </c>
      <c r="G46" s="8" t="s">
        <v>513</v>
      </c>
      <c r="H46" s="9" t="s">
        <v>514</v>
      </c>
      <c r="I46" s="9" t="s">
        <v>515</v>
      </c>
      <c r="J46" s="9" t="s">
        <v>516</v>
      </c>
      <c r="K46" s="8"/>
      <c r="L46" s="14" t="s">
        <v>178</v>
      </c>
      <c r="M46" s="9" t="s">
        <v>517</v>
      </c>
      <c r="N46" s="9" t="s">
        <v>518</v>
      </c>
      <c r="O46" s="8" t="n">
        <v>5</v>
      </c>
      <c r="P46" s="8" t="s">
        <v>86</v>
      </c>
      <c r="Q46" s="8" t="s">
        <v>75</v>
      </c>
      <c r="R46" s="8" t="s">
        <v>75</v>
      </c>
    </row>
    <row r="47" customFormat="false" ht="29.85" hidden="false" customHeight="false" outlineLevel="0" collapsed="false">
      <c r="A47" s="8" t="s">
        <v>519</v>
      </c>
      <c r="B47" s="8" t="n">
        <v>5</v>
      </c>
      <c r="C47" s="9" t="s">
        <v>470</v>
      </c>
      <c r="D47" s="8" t="s">
        <v>520</v>
      </c>
      <c r="E47" s="8" t="s">
        <v>521</v>
      </c>
      <c r="F47" s="8" t="s">
        <v>522</v>
      </c>
      <c r="G47" s="8" t="s">
        <v>523</v>
      </c>
      <c r="H47" s="9" t="s">
        <v>524</v>
      </c>
      <c r="I47" s="9" t="s">
        <v>525</v>
      </c>
      <c r="J47" s="9" t="s">
        <v>526</v>
      </c>
      <c r="K47" s="8"/>
      <c r="L47" s="14" t="s">
        <v>178</v>
      </c>
      <c r="M47" s="8" t="s">
        <v>527</v>
      </c>
      <c r="N47" s="9" t="s">
        <v>528</v>
      </c>
      <c r="O47" s="8" t="n">
        <v>5</v>
      </c>
      <c r="P47" s="8" t="s">
        <v>86</v>
      </c>
      <c r="Q47" s="8" t="s">
        <v>75</v>
      </c>
      <c r="R47" s="8" t="s">
        <v>75</v>
      </c>
    </row>
    <row r="48" customFormat="false" ht="29.85" hidden="false" customHeight="false" outlineLevel="0" collapsed="false">
      <c r="A48" s="8" t="s">
        <v>529</v>
      </c>
      <c r="B48" s="8" t="n">
        <v>5</v>
      </c>
      <c r="C48" s="9" t="s">
        <v>470</v>
      </c>
      <c r="D48" s="9" t="s">
        <v>530</v>
      </c>
      <c r="E48" s="9" t="s">
        <v>531</v>
      </c>
      <c r="F48" s="9" t="s">
        <v>532</v>
      </c>
      <c r="G48" s="8" t="s">
        <v>533</v>
      </c>
      <c r="H48" s="9" t="s">
        <v>534</v>
      </c>
      <c r="I48" s="9" t="s">
        <v>535</v>
      </c>
      <c r="J48" s="9" t="s">
        <v>536</v>
      </c>
      <c r="K48" s="8"/>
      <c r="L48" s="14" t="s">
        <v>178</v>
      </c>
      <c r="M48" s="9" t="s">
        <v>537</v>
      </c>
      <c r="N48" s="9" t="s">
        <v>538</v>
      </c>
      <c r="O48" s="8" t="n">
        <v>5</v>
      </c>
      <c r="P48" s="8" t="s">
        <v>86</v>
      </c>
      <c r="Q48" s="8" t="s">
        <v>75</v>
      </c>
      <c r="R48" s="8" t="s">
        <v>75</v>
      </c>
    </row>
    <row r="49" customFormat="false" ht="29.85" hidden="false" customHeight="false" outlineLevel="0" collapsed="false">
      <c r="A49" s="8" t="s">
        <v>539</v>
      </c>
      <c r="B49" s="8" t="n">
        <v>5</v>
      </c>
      <c r="C49" s="9" t="s">
        <v>470</v>
      </c>
      <c r="D49" s="9" t="s">
        <v>540</v>
      </c>
      <c r="E49" s="9" t="s">
        <v>541</v>
      </c>
      <c r="F49" s="9" t="s">
        <v>542</v>
      </c>
      <c r="G49" s="8" t="s">
        <v>543</v>
      </c>
      <c r="H49" s="9" t="s">
        <v>544</v>
      </c>
      <c r="I49" s="9" t="s">
        <v>545</v>
      </c>
      <c r="J49" s="9" t="s">
        <v>477</v>
      </c>
      <c r="K49" s="8"/>
      <c r="L49" s="14" t="s">
        <v>178</v>
      </c>
      <c r="M49" s="9" t="s">
        <v>546</v>
      </c>
      <c r="N49" s="9" t="s">
        <v>547</v>
      </c>
      <c r="O49" s="8" t="n">
        <v>5</v>
      </c>
      <c r="P49" s="8" t="s">
        <v>86</v>
      </c>
      <c r="Q49" s="8" t="s">
        <v>75</v>
      </c>
      <c r="R49" s="8" t="s">
        <v>75</v>
      </c>
    </row>
    <row r="50" customFormat="false" ht="29.85" hidden="false" customHeight="false" outlineLevel="0" collapsed="false">
      <c r="A50" s="8" t="s">
        <v>548</v>
      </c>
      <c r="B50" s="8" t="n">
        <v>5</v>
      </c>
      <c r="C50" s="9" t="s">
        <v>470</v>
      </c>
      <c r="D50" s="9" t="s">
        <v>549</v>
      </c>
      <c r="E50" s="9" t="s">
        <v>550</v>
      </c>
      <c r="F50" s="9" t="s">
        <v>551</v>
      </c>
      <c r="G50" s="8" t="s">
        <v>552</v>
      </c>
      <c r="H50" s="9" t="s">
        <v>553</v>
      </c>
      <c r="I50" s="9" t="s">
        <v>554</v>
      </c>
      <c r="J50" s="9" t="s">
        <v>477</v>
      </c>
      <c r="K50" s="8"/>
      <c r="L50" s="14" t="s">
        <v>178</v>
      </c>
      <c r="M50" s="9" t="s">
        <v>555</v>
      </c>
      <c r="N50" s="9" t="s">
        <v>556</v>
      </c>
      <c r="O50" s="8" t="n">
        <v>5</v>
      </c>
      <c r="P50" s="8" t="s">
        <v>86</v>
      </c>
      <c r="Q50" s="8" t="s">
        <v>75</v>
      </c>
      <c r="R50" s="8" t="s">
        <v>75</v>
      </c>
    </row>
    <row r="51" customFormat="false" ht="23.85" hidden="false" customHeight="false" outlineLevel="0" collapsed="false">
      <c r="A51" s="8" t="s">
        <v>557</v>
      </c>
      <c r="B51" s="8" t="n">
        <v>5</v>
      </c>
      <c r="C51" s="9" t="s">
        <v>470</v>
      </c>
      <c r="D51" s="9" t="s">
        <v>558</v>
      </c>
      <c r="E51" s="9" t="s">
        <v>559</v>
      </c>
      <c r="F51" s="9" t="s">
        <v>560</v>
      </c>
      <c r="G51" s="8" t="s">
        <v>561</v>
      </c>
      <c r="H51" s="9" t="s">
        <v>562</v>
      </c>
      <c r="I51" s="9" t="s">
        <v>563</v>
      </c>
      <c r="J51" s="9" t="s">
        <v>477</v>
      </c>
      <c r="K51" s="8"/>
      <c r="L51" s="14" t="s">
        <v>178</v>
      </c>
      <c r="M51" s="9" t="s">
        <v>564</v>
      </c>
      <c r="N51" s="9" t="s">
        <v>565</v>
      </c>
      <c r="O51" s="8" t="n">
        <v>5</v>
      </c>
      <c r="P51" s="8" t="s">
        <v>86</v>
      </c>
      <c r="Q51" s="8" t="s">
        <v>75</v>
      </c>
      <c r="R51" s="8" t="s">
        <v>75</v>
      </c>
    </row>
    <row r="52" customFormat="false" ht="29.85" hidden="false" customHeight="false" outlineLevel="0" collapsed="false">
      <c r="A52" s="8" t="s">
        <v>566</v>
      </c>
      <c r="B52" s="8" t="n">
        <v>6</v>
      </c>
      <c r="C52" s="9" t="s">
        <v>567</v>
      </c>
      <c r="D52" s="9" t="s">
        <v>568</v>
      </c>
      <c r="E52" s="9" t="s">
        <v>569</v>
      </c>
      <c r="F52" s="9" t="s">
        <v>570</v>
      </c>
      <c r="G52" s="8" t="s">
        <v>571</v>
      </c>
      <c r="H52" s="9" t="s">
        <v>572</v>
      </c>
      <c r="I52" s="9" t="s">
        <v>573</v>
      </c>
      <c r="J52" s="9" t="s">
        <v>437</v>
      </c>
      <c r="K52" s="8"/>
      <c r="L52" s="14" t="s">
        <v>178</v>
      </c>
      <c r="M52" s="9" t="s">
        <v>574</v>
      </c>
      <c r="N52" s="9" t="s">
        <v>575</v>
      </c>
      <c r="O52" s="8" t="n">
        <v>5</v>
      </c>
      <c r="P52" s="11" t="s">
        <v>74</v>
      </c>
      <c r="Q52" s="8" t="s">
        <v>75</v>
      </c>
      <c r="R52" s="8" t="s">
        <v>75</v>
      </c>
    </row>
    <row r="53" customFormat="false" ht="15" hidden="false" customHeight="false" outlineLevel="0" collapsed="false">
      <c r="A53" s="8" t="s">
        <v>576</v>
      </c>
      <c r="B53" s="8" t="n">
        <v>6</v>
      </c>
      <c r="C53" s="9" t="s">
        <v>567</v>
      </c>
      <c r="D53" s="9" t="s">
        <v>577</v>
      </c>
      <c r="E53" s="9" t="s">
        <v>578</v>
      </c>
      <c r="F53" s="9" t="s">
        <v>579</v>
      </c>
      <c r="G53" s="8" t="s">
        <v>580</v>
      </c>
      <c r="H53" s="9" t="s">
        <v>581</v>
      </c>
      <c r="I53" s="9" t="s">
        <v>582</v>
      </c>
      <c r="J53" s="9" t="s">
        <v>114</v>
      </c>
      <c r="K53" s="8"/>
      <c r="L53" s="10" t="s">
        <v>71</v>
      </c>
      <c r="M53" s="9" t="s">
        <v>583</v>
      </c>
      <c r="N53" s="9" t="s">
        <v>584</v>
      </c>
      <c r="O53" s="8" t="n">
        <v>5</v>
      </c>
      <c r="P53" s="8" t="s">
        <v>86</v>
      </c>
      <c r="Q53" s="8" t="s">
        <v>75</v>
      </c>
      <c r="R53" s="8" t="s">
        <v>75</v>
      </c>
    </row>
    <row r="54" customFormat="false" ht="29.85" hidden="false" customHeight="false" outlineLevel="0" collapsed="false">
      <c r="A54" s="8" t="s">
        <v>585</v>
      </c>
      <c r="B54" s="8" t="n">
        <v>6</v>
      </c>
      <c r="C54" s="9" t="s">
        <v>567</v>
      </c>
      <c r="D54" s="9" t="s">
        <v>586</v>
      </c>
      <c r="E54" s="9" t="s">
        <v>587</v>
      </c>
      <c r="F54" s="9" t="s">
        <v>588</v>
      </c>
      <c r="G54" s="8" t="s">
        <v>589</v>
      </c>
      <c r="H54" s="9" t="s">
        <v>590</v>
      </c>
      <c r="I54" s="9" t="s">
        <v>591</v>
      </c>
      <c r="J54" s="9" t="s">
        <v>592</v>
      </c>
      <c r="K54" s="8"/>
      <c r="L54" s="10" t="s">
        <v>71</v>
      </c>
      <c r="M54" s="9" t="s">
        <v>593</v>
      </c>
      <c r="N54" s="9" t="s">
        <v>594</v>
      </c>
      <c r="O54" s="8" t="n">
        <v>5</v>
      </c>
      <c r="P54" s="15" t="s">
        <v>269</v>
      </c>
      <c r="Q54" s="8" t="s">
        <v>75</v>
      </c>
      <c r="R54" s="8" t="s">
        <v>75</v>
      </c>
    </row>
    <row r="55" customFormat="false" ht="29.85" hidden="false" customHeight="false" outlineLevel="0" collapsed="false">
      <c r="A55" s="8" t="s">
        <v>595</v>
      </c>
      <c r="B55" s="8" t="n">
        <v>6</v>
      </c>
      <c r="C55" s="9" t="s">
        <v>567</v>
      </c>
      <c r="D55" s="9" t="s">
        <v>596</v>
      </c>
      <c r="E55" s="9" t="s">
        <v>597</v>
      </c>
      <c r="F55" s="9" t="s">
        <v>598</v>
      </c>
      <c r="G55" s="8" t="s">
        <v>599</v>
      </c>
      <c r="H55" s="8" t="s">
        <v>600</v>
      </c>
      <c r="I55" s="9" t="s">
        <v>601</v>
      </c>
      <c r="J55" s="9" t="s">
        <v>602</v>
      </c>
      <c r="K55" s="8"/>
      <c r="L55" s="12" t="s">
        <v>165</v>
      </c>
      <c r="M55" s="9" t="s">
        <v>603</v>
      </c>
      <c r="N55" s="9" t="s">
        <v>604</v>
      </c>
      <c r="O55" s="8" t="n">
        <v>5</v>
      </c>
      <c r="P55" s="13" t="s">
        <v>168</v>
      </c>
      <c r="Q55" s="8" t="s">
        <v>126</v>
      </c>
      <c r="R55" s="8" t="s">
        <v>75</v>
      </c>
    </row>
    <row r="56" customFormat="false" ht="29.85" hidden="false" customHeight="false" outlineLevel="0" collapsed="false">
      <c r="A56" s="8" t="s">
        <v>605</v>
      </c>
      <c r="B56" s="8" t="n">
        <v>6</v>
      </c>
      <c r="C56" s="9" t="s">
        <v>567</v>
      </c>
      <c r="D56" s="9" t="s">
        <v>606</v>
      </c>
      <c r="E56" s="9" t="s">
        <v>607</v>
      </c>
      <c r="F56" s="9" t="s">
        <v>608</v>
      </c>
      <c r="G56" s="8" t="s">
        <v>609</v>
      </c>
      <c r="H56" s="9" t="s">
        <v>610</v>
      </c>
      <c r="I56" s="9" t="s">
        <v>611</v>
      </c>
      <c r="J56" s="9" t="s">
        <v>612</v>
      </c>
      <c r="K56" s="8"/>
      <c r="L56" s="14" t="s">
        <v>178</v>
      </c>
      <c r="M56" s="9" t="s">
        <v>613</v>
      </c>
      <c r="N56" s="9" t="s">
        <v>614</v>
      </c>
      <c r="O56" s="8" t="n">
        <v>5</v>
      </c>
      <c r="P56" s="8" t="s">
        <v>86</v>
      </c>
      <c r="Q56" s="8" t="s">
        <v>75</v>
      </c>
      <c r="R56" s="8" t="s">
        <v>75</v>
      </c>
    </row>
    <row r="57" customFormat="false" ht="15" hidden="false" customHeight="false" outlineLevel="0" collapsed="false">
      <c r="A57" s="8" t="s">
        <v>615</v>
      </c>
      <c r="B57" s="8" t="n">
        <v>6</v>
      </c>
      <c r="C57" s="9" t="s">
        <v>567</v>
      </c>
      <c r="D57" s="9" t="s">
        <v>616</v>
      </c>
      <c r="E57" s="9" t="s">
        <v>617</v>
      </c>
      <c r="F57" s="9" t="s">
        <v>618</v>
      </c>
      <c r="G57" s="8" t="s">
        <v>619</v>
      </c>
      <c r="H57" s="9" t="s">
        <v>620</v>
      </c>
      <c r="I57" s="9" t="s">
        <v>621</v>
      </c>
      <c r="J57" s="9" t="s">
        <v>622</v>
      </c>
      <c r="K57" s="8"/>
      <c r="L57" s="10" t="s">
        <v>71</v>
      </c>
      <c r="M57" s="9" t="s">
        <v>623</v>
      </c>
      <c r="N57" s="9" t="s">
        <v>624</v>
      </c>
      <c r="O57" s="8" t="n">
        <v>5</v>
      </c>
      <c r="P57" s="8" t="s">
        <v>86</v>
      </c>
      <c r="Q57" s="8" t="s">
        <v>75</v>
      </c>
      <c r="R57" s="8" t="s">
        <v>75</v>
      </c>
    </row>
    <row r="58" customFormat="false" ht="29.85" hidden="false" customHeight="false" outlineLevel="0" collapsed="false">
      <c r="A58" s="8" t="s">
        <v>625</v>
      </c>
      <c r="B58" s="8" t="n">
        <v>6</v>
      </c>
      <c r="C58" s="9" t="s">
        <v>567</v>
      </c>
      <c r="D58" s="9" t="s">
        <v>626</v>
      </c>
      <c r="E58" s="9" t="s">
        <v>627</v>
      </c>
      <c r="F58" s="9" t="s">
        <v>628</v>
      </c>
      <c r="G58" s="8" t="s">
        <v>629</v>
      </c>
      <c r="H58" s="9" t="s">
        <v>630</v>
      </c>
      <c r="I58" s="9" t="s">
        <v>631</v>
      </c>
      <c r="J58" s="9" t="s">
        <v>516</v>
      </c>
      <c r="K58" s="8"/>
      <c r="L58" s="14" t="s">
        <v>178</v>
      </c>
      <c r="M58" s="9" t="s">
        <v>632</v>
      </c>
      <c r="N58" s="9" t="s">
        <v>633</v>
      </c>
      <c r="O58" s="8" t="n">
        <v>5</v>
      </c>
      <c r="P58" s="8" t="s">
        <v>86</v>
      </c>
      <c r="Q58" s="8" t="s">
        <v>75</v>
      </c>
      <c r="R58" s="8" t="s">
        <v>75</v>
      </c>
    </row>
    <row r="59" customFormat="false" ht="29.85" hidden="false" customHeight="false" outlineLevel="0" collapsed="false">
      <c r="A59" s="8" t="s">
        <v>634</v>
      </c>
      <c r="B59" s="8" t="n">
        <v>6</v>
      </c>
      <c r="C59" s="9" t="s">
        <v>567</v>
      </c>
      <c r="D59" s="9" t="s">
        <v>635</v>
      </c>
      <c r="E59" s="9" t="s">
        <v>636</v>
      </c>
      <c r="F59" s="9" t="s">
        <v>637</v>
      </c>
      <c r="G59" s="8" t="s">
        <v>638</v>
      </c>
      <c r="H59" s="9" t="s">
        <v>639</v>
      </c>
      <c r="I59" s="9" t="s">
        <v>640</v>
      </c>
      <c r="J59" s="9" t="s">
        <v>641</v>
      </c>
      <c r="K59" s="8"/>
      <c r="L59" s="10" t="s">
        <v>71</v>
      </c>
      <c r="M59" s="9" t="s">
        <v>642</v>
      </c>
      <c r="N59" s="9" t="s">
        <v>643</v>
      </c>
      <c r="O59" s="8" t="n">
        <v>5</v>
      </c>
      <c r="P59" s="8" t="s">
        <v>86</v>
      </c>
      <c r="Q59" s="8" t="s">
        <v>75</v>
      </c>
      <c r="R59" s="8" t="s">
        <v>75</v>
      </c>
    </row>
    <row r="60" customFormat="false" ht="29.85" hidden="false" customHeight="false" outlineLevel="0" collapsed="false">
      <c r="A60" s="8" t="s">
        <v>644</v>
      </c>
      <c r="B60" s="8" t="n">
        <v>6</v>
      </c>
      <c r="C60" s="9" t="s">
        <v>567</v>
      </c>
      <c r="D60" s="9" t="s">
        <v>645</v>
      </c>
      <c r="E60" s="9" t="s">
        <v>646</v>
      </c>
      <c r="F60" s="9" t="s">
        <v>647</v>
      </c>
      <c r="G60" s="8" t="s">
        <v>648</v>
      </c>
      <c r="H60" s="9" t="s">
        <v>649</v>
      </c>
      <c r="I60" s="9" t="s">
        <v>621</v>
      </c>
      <c r="J60" s="9" t="s">
        <v>650</v>
      </c>
      <c r="K60" s="8"/>
      <c r="L60" s="10" t="s">
        <v>71</v>
      </c>
      <c r="M60" s="9" t="s">
        <v>651</v>
      </c>
      <c r="N60" s="9" t="s">
        <v>652</v>
      </c>
      <c r="O60" s="8" t="n">
        <v>5</v>
      </c>
      <c r="P60" s="8" t="s">
        <v>86</v>
      </c>
      <c r="Q60" s="8" t="s">
        <v>75</v>
      </c>
      <c r="R60" s="8" t="s">
        <v>75</v>
      </c>
    </row>
    <row r="61" customFormat="false" ht="29.85" hidden="false" customHeight="false" outlineLevel="0" collapsed="false">
      <c r="A61" s="8" t="s">
        <v>653</v>
      </c>
      <c r="B61" s="8" t="n">
        <v>6</v>
      </c>
      <c r="C61" s="9" t="s">
        <v>567</v>
      </c>
      <c r="D61" s="9" t="s">
        <v>654</v>
      </c>
      <c r="E61" s="9" t="s">
        <v>655</v>
      </c>
      <c r="F61" s="9" t="s">
        <v>656</v>
      </c>
      <c r="G61" s="8" t="s">
        <v>657</v>
      </c>
      <c r="H61" s="9" t="s">
        <v>658</v>
      </c>
      <c r="I61" s="9" t="s">
        <v>659</v>
      </c>
      <c r="J61" s="9" t="s">
        <v>660</v>
      </c>
      <c r="K61" s="8"/>
      <c r="L61" s="10" t="s">
        <v>71</v>
      </c>
      <c r="M61" s="9" t="s">
        <v>661</v>
      </c>
      <c r="N61" s="9" t="s">
        <v>659</v>
      </c>
      <c r="O61" s="8" t="n">
        <v>5</v>
      </c>
      <c r="P61" s="8" t="s">
        <v>86</v>
      </c>
      <c r="Q61" s="8" t="s">
        <v>75</v>
      </c>
      <c r="R61" s="8" t="s">
        <v>75</v>
      </c>
    </row>
    <row r="62" customFormat="false" ht="29.85" hidden="false" customHeight="false" outlineLevel="0" collapsed="false">
      <c r="A62" s="8" t="s">
        <v>662</v>
      </c>
      <c r="B62" s="8" t="n">
        <v>7</v>
      </c>
      <c r="C62" s="9" t="s">
        <v>663</v>
      </c>
      <c r="D62" s="9" t="s">
        <v>664</v>
      </c>
      <c r="E62" s="9" t="s">
        <v>665</v>
      </c>
      <c r="F62" s="9" t="s">
        <v>666</v>
      </c>
      <c r="G62" s="8" t="s">
        <v>667</v>
      </c>
      <c r="H62" s="9" t="s">
        <v>668</v>
      </c>
      <c r="I62" s="9" t="s">
        <v>669</v>
      </c>
      <c r="J62" s="9" t="s">
        <v>670</v>
      </c>
      <c r="K62" s="8"/>
      <c r="L62" s="14" t="s">
        <v>178</v>
      </c>
      <c r="M62" s="9" t="s">
        <v>671</v>
      </c>
      <c r="N62" s="9" t="s">
        <v>672</v>
      </c>
      <c r="O62" s="8" t="n">
        <v>5</v>
      </c>
      <c r="P62" s="8" t="s">
        <v>86</v>
      </c>
      <c r="Q62" s="8" t="s">
        <v>75</v>
      </c>
      <c r="R62" s="8" t="s">
        <v>75</v>
      </c>
    </row>
    <row r="63" customFormat="false" ht="29.85" hidden="false" customHeight="false" outlineLevel="0" collapsed="false">
      <c r="A63" s="8" t="s">
        <v>673</v>
      </c>
      <c r="B63" s="8" t="n">
        <v>7</v>
      </c>
      <c r="C63" s="9" t="s">
        <v>663</v>
      </c>
      <c r="D63" s="9" t="s">
        <v>674</v>
      </c>
      <c r="E63" s="9" t="s">
        <v>675</v>
      </c>
      <c r="F63" s="9" t="s">
        <v>676</v>
      </c>
      <c r="G63" s="8" t="s">
        <v>677</v>
      </c>
      <c r="H63" s="9" t="s">
        <v>678</v>
      </c>
      <c r="I63" s="9" t="s">
        <v>679</v>
      </c>
      <c r="J63" s="9" t="s">
        <v>680</v>
      </c>
      <c r="K63" s="8"/>
      <c r="L63" s="10" t="s">
        <v>71</v>
      </c>
      <c r="M63" s="9" t="s">
        <v>681</v>
      </c>
      <c r="N63" s="9" t="s">
        <v>682</v>
      </c>
      <c r="O63" s="8" t="n">
        <v>5</v>
      </c>
      <c r="P63" s="8" t="s">
        <v>86</v>
      </c>
      <c r="Q63" s="8" t="s">
        <v>75</v>
      </c>
      <c r="R63" s="8" t="s">
        <v>75</v>
      </c>
    </row>
    <row r="64" customFormat="false" ht="15" hidden="false" customHeight="false" outlineLevel="0" collapsed="false">
      <c r="A64" s="8" t="s">
        <v>683</v>
      </c>
      <c r="B64" s="8" t="n">
        <v>7</v>
      </c>
      <c r="C64" s="9" t="s">
        <v>663</v>
      </c>
      <c r="D64" s="8" t="s">
        <v>684</v>
      </c>
      <c r="E64" s="8" t="s">
        <v>685</v>
      </c>
      <c r="F64" s="8" t="s">
        <v>686</v>
      </c>
      <c r="G64" s="8" t="s">
        <v>687</v>
      </c>
      <c r="H64" s="9" t="s">
        <v>688</v>
      </c>
      <c r="I64" s="9" t="s">
        <v>689</v>
      </c>
      <c r="J64" s="9" t="s">
        <v>690</v>
      </c>
      <c r="K64" s="8"/>
      <c r="L64" s="10" t="s">
        <v>71</v>
      </c>
      <c r="M64" s="9" t="s">
        <v>691</v>
      </c>
      <c r="N64" s="9" t="s">
        <v>692</v>
      </c>
      <c r="O64" s="8" t="n">
        <v>5</v>
      </c>
      <c r="P64" s="8" t="s">
        <v>86</v>
      </c>
      <c r="Q64" s="8" t="s">
        <v>75</v>
      </c>
      <c r="R64" s="8" t="s">
        <v>75</v>
      </c>
    </row>
    <row r="65" customFormat="false" ht="23.85" hidden="false" customHeight="false" outlineLevel="0" collapsed="false">
      <c r="A65" s="8" t="s">
        <v>693</v>
      </c>
      <c r="B65" s="8" t="n">
        <v>7</v>
      </c>
      <c r="C65" s="9" t="s">
        <v>663</v>
      </c>
      <c r="D65" s="9" t="s">
        <v>694</v>
      </c>
      <c r="E65" s="9" t="s">
        <v>695</v>
      </c>
      <c r="F65" s="9" t="s">
        <v>696</v>
      </c>
      <c r="G65" s="8" t="s">
        <v>697</v>
      </c>
      <c r="H65" s="9" t="s">
        <v>698</v>
      </c>
      <c r="I65" s="9" t="s">
        <v>699</v>
      </c>
      <c r="J65" s="9" t="s">
        <v>700</v>
      </c>
      <c r="K65" s="8"/>
      <c r="L65" s="10" t="s">
        <v>71</v>
      </c>
      <c r="M65" s="9" t="s">
        <v>701</v>
      </c>
      <c r="N65" s="9" t="s">
        <v>702</v>
      </c>
      <c r="O65" s="8" t="n">
        <v>5</v>
      </c>
      <c r="P65" s="8" t="s">
        <v>86</v>
      </c>
      <c r="Q65" s="8" t="s">
        <v>75</v>
      </c>
      <c r="R65" s="8" t="s">
        <v>75</v>
      </c>
    </row>
    <row r="66" customFormat="false" ht="29.85" hidden="false" customHeight="false" outlineLevel="0" collapsed="false">
      <c r="A66" s="8" t="s">
        <v>703</v>
      </c>
      <c r="B66" s="8" t="n">
        <v>7</v>
      </c>
      <c r="C66" s="9" t="s">
        <v>663</v>
      </c>
      <c r="D66" s="9" t="s">
        <v>704</v>
      </c>
      <c r="E66" s="9" t="s">
        <v>705</v>
      </c>
      <c r="F66" s="9" t="s">
        <v>706</v>
      </c>
      <c r="G66" s="8" t="s">
        <v>707</v>
      </c>
      <c r="H66" s="9" t="s">
        <v>708</v>
      </c>
      <c r="I66" s="9" t="s">
        <v>709</v>
      </c>
      <c r="J66" s="9" t="s">
        <v>710</v>
      </c>
      <c r="K66" s="8"/>
      <c r="L66" s="14" t="s">
        <v>178</v>
      </c>
      <c r="M66" s="9" t="s">
        <v>711</v>
      </c>
      <c r="N66" s="9" t="s">
        <v>712</v>
      </c>
      <c r="O66" s="8" t="n">
        <v>5</v>
      </c>
      <c r="P66" s="8" t="s">
        <v>86</v>
      </c>
      <c r="Q66" s="8" t="s">
        <v>75</v>
      </c>
      <c r="R66" s="8" t="s">
        <v>75</v>
      </c>
    </row>
    <row r="67" customFormat="false" ht="29.85" hidden="false" customHeight="false" outlineLevel="0" collapsed="false">
      <c r="A67" s="8" t="s">
        <v>713</v>
      </c>
      <c r="B67" s="8" t="n">
        <v>7</v>
      </c>
      <c r="C67" s="9" t="s">
        <v>663</v>
      </c>
      <c r="D67" s="9" t="s">
        <v>714</v>
      </c>
      <c r="E67" s="9" t="s">
        <v>715</v>
      </c>
      <c r="F67" s="9" t="s">
        <v>716</v>
      </c>
      <c r="G67" s="8" t="s">
        <v>717</v>
      </c>
      <c r="H67" s="8" t="s">
        <v>718</v>
      </c>
      <c r="I67" s="9" t="s">
        <v>719</v>
      </c>
      <c r="J67" s="9" t="s">
        <v>720</v>
      </c>
      <c r="K67" s="8"/>
      <c r="L67" s="14" t="s">
        <v>178</v>
      </c>
      <c r="M67" s="9" t="s">
        <v>721</v>
      </c>
      <c r="N67" s="9" t="s">
        <v>722</v>
      </c>
      <c r="O67" s="8" t="n">
        <v>5</v>
      </c>
      <c r="P67" s="8" t="s">
        <v>86</v>
      </c>
      <c r="Q67" s="8" t="s">
        <v>75</v>
      </c>
      <c r="R67" s="8" t="s">
        <v>75</v>
      </c>
    </row>
    <row r="68" customFormat="false" ht="29.85" hidden="false" customHeight="false" outlineLevel="0" collapsed="false">
      <c r="A68" s="8" t="s">
        <v>723</v>
      </c>
      <c r="B68" s="8" t="n">
        <v>7</v>
      </c>
      <c r="C68" s="9" t="s">
        <v>663</v>
      </c>
      <c r="D68" s="9" t="s">
        <v>724</v>
      </c>
      <c r="E68" s="9" t="s">
        <v>725</v>
      </c>
      <c r="F68" s="9" t="s">
        <v>726</v>
      </c>
      <c r="G68" s="8" t="s">
        <v>727</v>
      </c>
      <c r="H68" s="9" t="s">
        <v>728</v>
      </c>
      <c r="I68" s="9" t="s">
        <v>729</v>
      </c>
      <c r="J68" s="9" t="s">
        <v>730</v>
      </c>
      <c r="K68" s="8"/>
      <c r="L68" s="14" t="s">
        <v>178</v>
      </c>
      <c r="M68" s="9" t="s">
        <v>731</v>
      </c>
      <c r="N68" s="9" t="s">
        <v>729</v>
      </c>
      <c r="O68" s="8" t="n">
        <v>5</v>
      </c>
      <c r="P68" s="8" t="s">
        <v>86</v>
      </c>
      <c r="Q68" s="8" t="s">
        <v>75</v>
      </c>
      <c r="R68" s="8" t="s">
        <v>75</v>
      </c>
    </row>
    <row r="69" customFormat="false" ht="15" hidden="false" customHeight="false" outlineLevel="0" collapsed="false">
      <c r="A69" s="8" t="s">
        <v>732</v>
      </c>
      <c r="B69" s="8" t="n">
        <v>7</v>
      </c>
      <c r="C69" s="9" t="s">
        <v>663</v>
      </c>
      <c r="D69" s="9" t="s">
        <v>733</v>
      </c>
      <c r="E69" s="9" t="s">
        <v>734</v>
      </c>
      <c r="F69" s="9" t="s">
        <v>735</v>
      </c>
      <c r="G69" s="8" t="s">
        <v>736</v>
      </c>
      <c r="H69" s="9" t="s">
        <v>737</v>
      </c>
      <c r="I69" s="9" t="s">
        <v>738</v>
      </c>
      <c r="J69" s="9" t="s">
        <v>700</v>
      </c>
      <c r="K69" s="8"/>
      <c r="L69" s="10" t="s">
        <v>71</v>
      </c>
      <c r="M69" s="9" t="s">
        <v>739</v>
      </c>
      <c r="N69" s="9" t="s">
        <v>740</v>
      </c>
      <c r="O69" s="8" t="n">
        <v>5</v>
      </c>
      <c r="P69" s="8" t="s">
        <v>86</v>
      </c>
      <c r="Q69" s="8" t="s">
        <v>75</v>
      </c>
      <c r="R69" s="8" t="s">
        <v>75</v>
      </c>
    </row>
    <row r="70" customFormat="false" ht="29.85" hidden="false" customHeight="false" outlineLevel="0" collapsed="false">
      <c r="A70" s="8" t="s">
        <v>741</v>
      </c>
      <c r="B70" s="8" t="n">
        <v>7</v>
      </c>
      <c r="C70" s="9" t="s">
        <v>663</v>
      </c>
      <c r="D70" s="9" t="s">
        <v>742</v>
      </c>
      <c r="E70" s="9" t="s">
        <v>743</v>
      </c>
      <c r="F70" s="9" t="s">
        <v>744</v>
      </c>
      <c r="G70" s="8" t="s">
        <v>745</v>
      </c>
      <c r="H70" s="9" t="s">
        <v>746</v>
      </c>
      <c r="I70" s="9" t="s">
        <v>747</v>
      </c>
      <c r="J70" s="9" t="s">
        <v>748</v>
      </c>
      <c r="K70" s="8"/>
      <c r="L70" s="10" t="s">
        <v>71</v>
      </c>
      <c r="M70" s="9" t="s">
        <v>749</v>
      </c>
      <c r="N70" s="9" t="s">
        <v>750</v>
      </c>
      <c r="O70" s="8" t="n">
        <v>5</v>
      </c>
      <c r="P70" s="8" t="s">
        <v>86</v>
      </c>
      <c r="Q70" s="8" t="s">
        <v>75</v>
      </c>
      <c r="R70" s="8" t="s">
        <v>75</v>
      </c>
    </row>
    <row r="71" customFormat="false" ht="29.85" hidden="false" customHeight="false" outlineLevel="0" collapsed="false">
      <c r="A71" s="8" t="s">
        <v>751</v>
      </c>
      <c r="B71" s="8" t="n">
        <v>7</v>
      </c>
      <c r="C71" s="9" t="s">
        <v>663</v>
      </c>
      <c r="D71" s="9" t="s">
        <v>752</v>
      </c>
      <c r="E71" s="9" t="s">
        <v>753</v>
      </c>
      <c r="F71" s="9" t="s">
        <v>754</v>
      </c>
      <c r="G71" s="8" t="s">
        <v>755</v>
      </c>
      <c r="H71" s="9" t="s">
        <v>756</v>
      </c>
      <c r="I71" s="9" t="s">
        <v>757</v>
      </c>
      <c r="J71" s="9" t="s">
        <v>758</v>
      </c>
      <c r="K71" s="8"/>
      <c r="L71" s="14" t="s">
        <v>178</v>
      </c>
      <c r="M71" s="9" t="s">
        <v>759</v>
      </c>
      <c r="N71" s="9" t="s">
        <v>760</v>
      </c>
      <c r="O71" s="8" t="n">
        <v>5</v>
      </c>
      <c r="P71" s="15" t="s">
        <v>269</v>
      </c>
      <c r="Q71" s="8" t="s">
        <v>75</v>
      </c>
      <c r="R71" s="8" t="s">
        <v>75</v>
      </c>
    </row>
    <row r="72" customFormat="false" ht="29.85" hidden="false" customHeight="false" outlineLevel="0" collapsed="false">
      <c r="A72" s="8" t="s">
        <v>761</v>
      </c>
      <c r="B72" s="8" t="n">
        <v>8</v>
      </c>
      <c r="C72" s="9" t="s">
        <v>762</v>
      </c>
      <c r="D72" s="9" t="s">
        <v>763</v>
      </c>
      <c r="E72" s="9" t="s">
        <v>764</v>
      </c>
      <c r="F72" s="9" t="s">
        <v>765</v>
      </c>
      <c r="G72" s="8" t="s">
        <v>766</v>
      </c>
      <c r="H72" s="9" t="s">
        <v>767</v>
      </c>
      <c r="I72" s="9" t="s">
        <v>768</v>
      </c>
      <c r="J72" s="9" t="s">
        <v>769</v>
      </c>
      <c r="K72" s="8"/>
      <c r="L72" s="14" t="s">
        <v>178</v>
      </c>
      <c r="M72" s="9" t="s">
        <v>770</v>
      </c>
      <c r="N72" s="9" t="s">
        <v>771</v>
      </c>
      <c r="O72" s="8" t="n">
        <v>5</v>
      </c>
      <c r="P72" s="15" t="s">
        <v>269</v>
      </c>
      <c r="Q72" s="8" t="s">
        <v>126</v>
      </c>
      <c r="R72" s="8" t="s">
        <v>126</v>
      </c>
    </row>
    <row r="73" customFormat="false" ht="23.85" hidden="false" customHeight="false" outlineLevel="0" collapsed="false">
      <c r="A73" s="8" t="s">
        <v>772</v>
      </c>
      <c r="B73" s="8" t="n">
        <v>8</v>
      </c>
      <c r="C73" s="9" t="s">
        <v>762</v>
      </c>
      <c r="D73" s="9" t="s">
        <v>773</v>
      </c>
      <c r="E73" s="9" t="s">
        <v>774</v>
      </c>
      <c r="F73" s="9" t="s">
        <v>775</v>
      </c>
      <c r="G73" s="8" t="s">
        <v>776</v>
      </c>
      <c r="H73" s="9" t="s">
        <v>777</v>
      </c>
      <c r="I73" s="9" t="s">
        <v>778</v>
      </c>
      <c r="J73" s="9" t="s">
        <v>779</v>
      </c>
      <c r="K73" s="8"/>
      <c r="L73" s="10" t="s">
        <v>71</v>
      </c>
      <c r="M73" s="9" t="s">
        <v>780</v>
      </c>
      <c r="N73" s="9" t="s">
        <v>781</v>
      </c>
      <c r="O73" s="8" t="n">
        <v>5</v>
      </c>
      <c r="P73" s="8" t="s">
        <v>86</v>
      </c>
      <c r="Q73" s="8" t="s">
        <v>75</v>
      </c>
      <c r="R73" s="8" t="s">
        <v>75</v>
      </c>
    </row>
    <row r="74" customFormat="false" ht="29.85" hidden="false" customHeight="false" outlineLevel="0" collapsed="false">
      <c r="A74" s="8" t="s">
        <v>782</v>
      </c>
      <c r="B74" s="8" t="n">
        <v>8</v>
      </c>
      <c r="C74" s="9" t="s">
        <v>762</v>
      </c>
      <c r="D74" s="9" t="s">
        <v>783</v>
      </c>
      <c r="E74" s="9" t="s">
        <v>784</v>
      </c>
      <c r="F74" s="9" t="s">
        <v>785</v>
      </c>
      <c r="G74" s="8" t="s">
        <v>786</v>
      </c>
      <c r="H74" s="9" t="s">
        <v>787</v>
      </c>
      <c r="I74" s="8" t="s">
        <v>788</v>
      </c>
      <c r="J74" s="9" t="s">
        <v>789</v>
      </c>
      <c r="K74" s="8"/>
      <c r="L74" s="14" t="s">
        <v>178</v>
      </c>
      <c r="M74" s="9" t="s">
        <v>790</v>
      </c>
      <c r="N74" s="9" t="s">
        <v>791</v>
      </c>
      <c r="O74" s="8" t="n">
        <v>5</v>
      </c>
      <c r="P74" s="8" t="s">
        <v>86</v>
      </c>
      <c r="Q74" s="8" t="s">
        <v>126</v>
      </c>
      <c r="R74" s="8" t="s">
        <v>75</v>
      </c>
    </row>
    <row r="75" customFormat="false" ht="15" hidden="false" customHeight="false" outlineLevel="0" collapsed="false">
      <c r="A75" s="8" t="s">
        <v>792</v>
      </c>
      <c r="B75" s="8" t="n">
        <v>8</v>
      </c>
      <c r="C75" s="9" t="s">
        <v>762</v>
      </c>
      <c r="D75" s="9" t="s">
        <v>793</v>
      </c>
      <c r="E75" s="9" t="s">
        <v>794</v>
      </c>
      <c r="F75" s="9" t="s">
        <v>795</v>
      </c>
      <c r="G75" s="8" t="s">
        <v>796</v>
      </c>
      <c r="H75" s="9" t="s">
        <v>797</v>
      </c>
      <c r="I75" s="9" t="s">
        <v>798</v>
      </c>
      <c r="J75" s="9" t="s">
        <v>789</v>
      </c>
      <c r="K75" s="8"/>
      <c r="L75" s="10" t="s">
        <v>71</v>
      </c>
      <c r="M75" s="9" t="s">
        <v>799</v>
      </c>
      <c r="N75" s="9" t="s">
        <v>800</v>
      </c>
      <c r="O75" s="8" t="n">
        <v>5</v>
      </c>
      <c r="P75" s="15" t="s">
        <v>269</v>
      </c>
      <c r="Q75" s="8" t="s">
        <v>75</v>
      </c>
      <c r="R75" s="8" t="s">
        <v>75</v>
      </c>
    </row>
    <row r="76" customFormat="false" ht="29.85" hidden="false" customHeight="false" outlineLevel="0" collapsed="false">
      <c r="A76" s="8" t="s">
        <v>801</v>
      </c>
      <c r="B76" s="8" t="n">
        <v>8</v>
      </c>
      <c r="C76" s="9" t="s">
        <v>762</v>
      </c>
      <c r="D76" s="9" t="s">
        <v>802</v>
      </c>
      <c r="E76" s="9" t="s">
        <v>803</v>
      </c>
      <c r="F76" s="9" t="s">
        <v>804</v>
      </c>
      <c r="G76" s="8" t="s">
        <v>805</v>
      </c>
      <c r="H76" s="9" t="s">
        <v>806</v>
      </c>
      <c r="I76" s="9" t="s">
        <v>807</v>
      </c>
      <c r="J76" s="8" t="s">
        <v>808</v>
      </c>
      <c r="K76" s="8"/>
      <c r="L76" s="10" t="s">
        <v>71</v>
      </c>
      <c r="M76" s="9" t="s">
        <v>809</v>
      </c>
      <c r="N76" s="9" t="s">
        <v>810</v>
      </c>
      <c r="O76" s="8" t="n">
        <v>5</v>
      </c>
      <c r="P76" s="8" t="s">
        <v>86</v>
      </c>
      <c r="Q76" s="8" t="s">
        <v>75</v>
      </c>
      <c r="R76" s="8" t="s">
        <v>75</v>
      </c>
    </row>
    <row r="77" customFormat="false" ht="29.85" hidden="false" customHeight="false" outlineLevel="0" collapsed="false">
      <c r="A77" s="8" t="s">
        <v>811</v>
      </c>
      <c r="B77" s="8" t="n">
        <v>8</v>
      </c>
      <c r="C77" s="9" t="s">
        <v>762</v>
      </c>
      <c r="D77" s="9" t="s">
        <v>812</v>
      </c>
      <c r="E77" s="9" t="s">
        <v>813</v>
      </c>
      <c r="F77" s="9" t="s">
        <v>814</v>
      </c>
      <c r="G77" s="8" t="s">
        <v>815</v>
      </c>
      <c r="H77" s="9" t="s">
        <v>816</v>
      </c>
      <c r="I77" s="9" t="s">
        <v>817</v>
      </c>
      <c r="J77" s="9" t="s">
        <v>700</v>
      </c>
      <c r="K77" s="8"/>
      <c r="L77" s="10" t="s">
        <v>71</v>
      </c>
      <c r="M77" s="9" t="s">
        <v>818</v>
      </c>
      <c r="N77" s="9" t="s">
        <v>819</v>
      </c>
      <c r="O77" s="8" t="n">
        <v>5</v>
      </c>
      <c r="P77" s="15" t="s">
        <v>269</v>
      </c>
      <c r="Q77" s="8" t="s">
        <v>126</v>
      </c>
      <c r="R77" s="8" t="s">
        <v>126</v>
      </c>
    </row>
    <row r="78" customFormat="false" ht="29.85" hidden="false" customHeight="false" outlineLevel="0" collapsed="false">
      <c r="A78" s="8" t="s">
        <v>820</v>
      </c>
      <c r="B78" s="8" t="n">
        <v>8</v>
      </c>
      <c r="C78" s="9" t="s">
        <v>762</v>
      </c>
      <c r="D78" s="9" t="s">
        <v>821</v>
      </c>
      <c r="E78" s="9" t="s">
        <v>822</v>
      </c>
      <c r="F78" s="9" t="s">
        <v>823</v>
      </c>
      <c r="G78" s="8" t="s">
        <v>824</v>
      </c>
      <c r="H78" s="9" t="s">
        <v>825</v>
      </c>
      <c r="I78" s="9" t="s">
        <v>826</v>
      </c>
      <c r="J78" s="9" t="s">
        <v>827</v>
      </c>
      <c r="K78" s="8"/>
      <c r="L78" s="10" t="s">
        <v>71</v>
      </c>
      <c r="M78" s="9" t="s">
        <v>828</v>
      </c>
      <c r="N78" s="9" t="s">
        <v>829</v>
      </c>
      <c r="O78" s="8" t="n">
        <v>5</v>
      </c>
      <c r="P78" s="8" t="s">
        <v>86</v>
      </c>
      <c r="Q78" s="8" t="s">
        <v>75</v>
      </c>
      <c r="R78" s="8" t="s">
        <v>75</v>
      </c>
    </row>
    <row r="79" customFormat="false" ht="29.85" hidden="false" customHeight="false" outlineLevel="0" collapsed="false">
      <c r="A79" s="8" t="s">
        <v>830</v>
      </c>
      <c r="B79" s="8" t="n">
        <v>8</v>
      </c>
      <c r="C79" s="9" t="s">
        <v>762</v>
      </c>
      <c r="D79" s="9" t="s">
        <v>831</v>
      </c>
      <c r="E79" s="9" t="s">
        <v>832</v>
      </c>
      <c r="F79" s="9" t="s">
        <v>833</v>
      </c>
      <c r="G79" s="8" t="s">
        <v>834</v>
      </c>
      <c r="H79" s="9" t="s">
        <v>835</v>
      </c>
      <c r="I79" s="9" t="s">
        <v>836</v>
      </c>
      <c r="J79" s="9" t="s">
        <v>837</v>
      </c>
      <c r="K79" s="8"/>
      <c r="L79" s="10" t="s">
        <v>71</v>
      </c>
      <c r="M79" s="9" t="s">
        <v>838</v>
      </c>
      <c r="N79" s="9" t="s">
        <v>839</v>
      </c>
      <c r="O79" s="8" t="n">
        <v>5</v>
      </c>
      <c r="P79" s="8" t="s">
        <v>86</v>
      </c>
      <c r="Q79" s="8" t="s">
        <v>75</v>
      </c>
      <c r="R79" s="8" t="s">
        <v>75</v>
      </c>
    </row>
    <row r="80" customFormat="false" ht="29.85" hidden="false" customHeight="false" outlineLevel="0" collapsed="false">
      <c r="A80" s="8" t="s">
        <v>840</v>
      </c>
      <c r="B80" s="8" t="n">
        <v>8</v>
      </c>
      <c r="C80" s="9" t="s">
        <v>762</v>
      </c>
      <c r="D80" s="9" t="s">
        <v>841</v>
      </c>
      <c r="E80" s="9" t="s">
        <v>842</v>
      </c>
      <c r="F80" s="9" t="s">
        <v>843</v>
      </c>
      <c r="G80" s="8" t="s">
        <v>844</v>
      </c>
      <c r="H80" s="9" t="s">
        <v>845</v>
      </c>
      <c r="I80" s="9" t="s">
        <v>846</v>
      </c>
      <c r="J80" s="9" t="s">
        <v>847</v>
      </c>
      <c r="K80" s="8"/>
      <c r="L80" s="14" t="s">
        <v>178</v>
      </c>
      <c r="M80" s="9" t="s">
        <v>848</v>
      </c>
      <c r="N80" s="9" t="s">
        <v>849</v>
      </c>
      <c r="O80" s="8" t="n">
        <v>5</v>
      </c>
      <c r="P80" s="8" t="s">
        <v>86</v>
      </c>
      <c r="Q80" s="8" t="s">
        <v>75</v>
      </c>
      <c r="R80" s="8" t="s">
        <v>75</v>
      </c>
    </row>
    <row r="81" customFormat="false" ht="29.85" hidden="false" customHeight="false" outlineLevel="0" collapsed="false">
      <c r="A81" s="8" t="s">
        <v>850</v>
      </c>
      <c r="B81" s="8" t="n">
        <v>8</v>
      </c>
      <c r="C81" s="9" t="s">
        <v>762</v>
      </c>
      <c r="D81" s="9" t="s">
        <v>851</v>
      </c>
      <c r="E81" s="9" t="s">
        <v>852</v>
      </c>
      <c r="F81" s="9" t="s">
        <v>853</v>
      </c>
      <c r="G81" s="8" t="s">
        <v>854</v>
      </c>
      <c r="H81" s="9" t="s">
        <v>855</v>
      </c>
      <c r="I81" s="9" t="s">
        <v>856</v>
      </c>
      <c r="J81" s="9" t="s">
        <v>857</v>
      </c>
      <c r="K81" s="8"/>
      <c r="L81" s="10" t="s">
        <v>71</v>
      </c>
      <c r="M81" s="9" t="s">
        <v>858</v>
      </c>
      <c r="N81" s="9" t="s">
        <v>859</v>
      </c>
      <c r="O81" s="8" t="n">
        <v>5</v>
      </c>
      <c r="P81" s="8" t="s">
        <v>86</v>
      </c>
      <c r="Q81" s="8" t="s">
        <v>75</v>
      </c>
      <c r="R81" s="8" t="s">
        <v>75</v>
      </c>
    </row>
    <row r="82" customFormat="false" ht="29.85" hidden="false" customHeight="false" outlineLevel="0" collapsed="false">
      <c r="A82" s="8" t="s">
        <v>860</v>
      </c>
      <c r="B82" s="8" t="n">
        <v>9</v>
      </c>
      <c r="C82" s="9" t="s">
        <v>861</v>
      </c>
      <c r="D82" s="9" t="s">
        <v>862</v>
      </c>
      <c r="E82" s="9" t="s">
        <v>863</v>
      </c>
      <c r="F82" s="9" t="s">
        <v>864</v>
      </c>
      <c r="G82" s="8" t="s">
        <v>865</v>
      </c>
      <c r="H82" s="9" t="s">
        <v>866</v>
      </c>
      <c r="I82" s="9" t="s">
        <v>867</v>
      </c>
      <c r="J82" s="9" t="s">
        <v>868</v>
      </c>
      <c r="K82" s="8"/>
      <c r="L82" s="10" t="s">
        <v>71</v>
      </c>
      <c r="M82" s="9" t="s">
        <v>869</v>
      </c>
      <c r="N82" s="9" t="s">
        <v>867</v>
      </c>
      <c r="O82" s="8" t="n">
        <v>5</v>
      </c>
      <c r="P82" s="8" t="s">
        <v>86</v>
      </c>
      <c r="Q82" s="8" t="s">
        <v>75</v>
      </c>
      <c r="R82" s="8" t="s">
        <v>75</v>
      </c>
    </row>
    <row r="83" customFormat="false" ht="29.85" hidden="false" customHeight="false" outlineLevel="0" collapsed="false">
      <c r="A83" s="8" t="s">
        <v>870</v>
      </c>
      <c r="B83" s="8" t="n">
        <v>9</v>
      </c>
      <c r="C83" s="9" t="s">
        <v>861</v>
      </c>
      <c r="D83" s="9" t="s">
        <v>871</v>
      </c>
      <c r="E83" s="9" t="s">
        <v>872</v>
      </c>
      <c r="F83" s="9" t="s">
        <v>873</v>
      </c>
      <c r="G83" s="8" t="s">
        <v>874</v>
      </c>
      <c r="H83" s="8" t="s">
        <v>875</v>
      </c>
      <c r="I83" s="9" t="s">
        <v>876</v>
      </c>
      <c r="J83" s="8" t="s">
        <v>877</v>
      </c>
      <c r="K83" s="8"/>
      <c r="L83" s="10" t="s">
        <v>71</v>
      </c>
      <c r="M83" s="9" t="s">
        <v>878</v>
      </c>
      <c r="N83" s="9" t="s">
        <v>879</v>
      </c>
      <c r="O83" s="8" t="n">
        <v>5</v>
      </c>
      <c r="P83" s="8" t="s">
        <v>86</v>
      </c>
      <c r="Q83" s="8" t="s">
        <v>126</v>
      </c>
      <c r="R83" s="8" t="s">
        <v>75</v>
      </c>
    </row>
    <row r="84" customFormat="false" ht="29.85" hidden="false" customHeight="false" outlineLevel="0" collapsed="false">
      <c r="A84" s="8" t="s">
        <v>880</v>
      </c>
      <c r="B84" s="8" t="n">
        <v>9</v>
      </c>
      <c r="C84" s="9" t="s">
        <v>861</v>
      </c>
      <c r="D84" s="9" t="s">
        <v>881</v>
      </c>
      <c r="E84" s="9" t="s">
        <v>882</v>
      </c>
      <c r="F84" s="9" t="s">
        <v>883</v>
      </c>
      <c r="G84" s="8" t="s">
        <v>884</v>
      </c>
      <c r="H84" s="9" t="s">
        <v>885</v>
      </c>
      <c r="I84" s="9" t="s">
        <v>886</v>
      </c>
      <c r="J84" s="8" t="s">
        <v>887</v>
      </c>
      <c r="K84" s="8"/>
      <c r="L84" s="10" t="s">
        <v>71</v>
      </c>
      <c r="M84" s="9" t="s">
        <v>888</v>
      </c>
      <c r="N84" s="9" t="s">
        <v>889</v>
      </c>
      <c r="O84" s="8" t="n">
        <v>5</v>
      </c>
      <c r="P84" s="15" t="s">
        <v>269</v>
      </c>
      <c r="Q84" s="8" t="s">
        <v>75</v>
      </c>
      <c r="R84" s="8" t="s">
        <v>75</v>
      </c>
    </row>
    <row r="85" customFormat="false" ht="29.85" hidden="false" customHeight="false" outlineLevel="0" collapsed="false">
      <c r="A85" s="8" t="s">
        <v>890</v>
      </c>
      <c r="B85" s="8" t="n">
        <v>9</v>
      </c>
      <c r="C85" s="9" t="s">
        <v>861</v>
      </c>
      <c r="D85" s="9" t="s">
        <v>891</v>
      </c>
      <c r="E85" s="9" t="s">
        <v>892</v>
      </c>
      <c r="F85" s="9" t="s">
        <v>893</v>
      </c>
      <c r="G85" s="8" t="s">
        <v>894</v>
      </c>
      <c r="H85" s="9" t="s">
        <v>895</v>
      </c>
      <c r="I85" s="9" t="s">
        <v>896</v>
      </c>
      <c r="J85" s="8" t="s">
        <v>808</v>
      </c>
      <c r="K85" s="8"/>
      <c r="L85" s="10" t="s">
        <v>71</v>
      </c>
      <c r="M85" s="9" t="s">
        <v>897</v>
      </c>
      <c r="N85" s="9" t="s">
        <v>896</v>
      </c>
      <c r="O85" s="8" t="n">
        <v>5</v>
      </c>
      <c r="P85" s="8" t="s">
        <v>86</v>
      </c>
      <c r="Q85" s="8" t="s">
        <v>75</v>
      </c>
      <c r="R85" s="8" t="s">
        <v>75</v>
      </c>
    </row>
    <row r="86" customFormat="false" ht="15" hidden="false" customHeight="false" outlineLevel="0" collapsed="false">
      <c r="A86" s="8" t="s">
        <v>898</v>
      </c>
      <c r="B86" s="8" t="n">
        <v>9</v>
      </c>
      <c r="C86" s="9" t="s">
        <v>861</v>
      </c>
      <c r="D86" s="9" t="s">
        <v>899</v>
      </c>
      <c r="E86" s="9" t="s">
        <v>900</v>
      </c>
      <c r="F86" s="9" t="s">
        <v>901</v>
      </c>
      <c r="G86" s="8" t="s">
        <v>902</v>
      </c>
      <c r="H86" s="9" t="s">
        <v>903</v>
      </c>
      <c r="I86" s="9" t="s">
        <v>904</v>
      </c>
      <c r="J86" s="9" t="s">
        <v>905</v>
      </c>
      <c r="K86" s="8"/>
      <c r="L86" s="10" t="s">
        <v>71</v>
      </c>
      <c r="M86" s="9" t="s">
        <v>906</v>
      </c>
      <c r="N86" s="9" t="s">
        <v>904</v>
      </c>
      <c r="O86" s="8" t="n">
        <v>5</v>
      </c>
      <c r="P86" s="8" t="s">
        <v>86</v>
      </c>
      <c r="Q86" s="8" t="s">
        <v>75</v>
      </c>
      <c r="R86" s="8" t="s">
        <v>75</v>
      </c>
    </row>
    <row r="87" customFormat="false" ht="23.85" hidden="false" customHeight="false" outlineLevel="0" collapsed="false">
      <c r="A87" s="8" t="s">
        <v>907</v>
      </c>
      <c r="B87" s="8" t="n">
        <v>9</v>
      </c>
      <c r="C87" s="9" t="s">
        <v>861</v>
      </c>
      <c r="D87" s="9" t="s">
        <v>908</v>
      </c>
      <c r="E87" s="9" t="s">
        <v>909</v>
      </c>
      <c r="F87" s="9" t="s">
        <v>910</v>
      </c>
      <c r="G87" s="8" t="s">
        <v>911</v>
      </c>
      <c r="H87" s="9" t="s">
        <v>912</v>
      </c>
      <c r="I87" s="9" t="s">
        <v>913</v>
      </c>
      <c r="J87" s="9" t="s">
        <v>914</v>
      </c>
      <c r="K87" s="8"/>
      <c r="L87" s="10" t="s">
        <v>71</v>
      </c>
      <c r="M87" s="9" t="s">
        <v>915</v>
      </c>
      <c r="N87" s="9" t="s">
        <v>916</v>
      </c>
      <c r="O87" s="8" t="n">
        <v>5</v>
      </c>
      <c r="P87" s="8" t="s">
        <v>86</v>
      </c>
      <c r="Q87" s="8" t="s">
        <v>75</v>
      </c>
      <c r="R87" s="8" t="s">
        <v>75</v>
      </c>
    </row>
    <row r="88" customFormat="false" ht="29.85" hidden="false" customHeight="false" outlineLevel="0" collapsed="false">
      <c r="A88" s="8" t="s">
        <v>917</v>
      </c>
      <c r="B88" s="8" t="n">
        <v>9</v>
      </c>
      <c r="C88" s="9" t="s">
        <v>861</v>
      </c>
      <c r="D88" s="9" t="s">
        <v>918</v>
      </c>
      <c r="E88" s="9" t="s">
        <v>919</v>
      </c>
      <c r="F88" s="9" t="s">
        <v>920</v>
      </c>
      <c r="G88" s="8" t="s">
        <v>921</v>
      </c>
      <c r="H88" s="9" t="s">
        <v>922</v>
      </c>
      <c r="I88" s="9" t="s">
        <v>923</v>
      </c>
      <c r="J88" s="8" t="s">
        <v>924</v>
      </c>
      <c r="K88" s="8"/>
      <c r="L88" s="10" t="s">
        <v>71</v>
      </c>
      <c r="M88" s="9" t="s">
        <v>925</v>
      </c>
      <c r="N88" s="9" t="s">
        <v>926</v>
      </c>
      <c r="O88" s="8" t="n">
        <v>5</v>
      </c>
      <c r="P88" s="8" t="s">
        <v>86</v>
      </c>
      <c r="Q88" s="8" t="s">
        <v>75</v>
      </c>
      <c r="R88" s="8" t="s">
        <v>75</v>
      </c>
    </row>
    <row r="89" customFormat="false" ht="29.85" hidden="false" customHeight="false" outlineLevel="0" collapsed="false">
      <c r="A89" s="8" t="s">
        <v>927</v>
      </c>
      <c r="B89" s="8" t="n">
        <v>9</v>
      </c>
      <c r="C89" s="9" t="s">
        <v>861</v>
      </c>
      <c r="D89" s="9" t="s">
        <v>928</v>
      </c>
      <c r="E89" s="9" t="s">
        <v>929</v>
      </c>
      <c r="F89" s="9" t="s">
        <v>930</v>
      </c>
      <c r="G89" s="8" t="s">
        <v>931</v>
      </c>
      <c r="H89" s="8" t="s">
        <v>932</v>
      </c>
      <c r="I89" s="9" t="s">
        <v>933</v>
      </c>
      <c r="J89" s="9" t="s">
        <v>602</v>
      </c>
      <c r="K89" s="8"/>
      <c r="L89" s="12" t="s">
        <v>165</v>
      </c>
      <c r="M89" s="9" t="s">
        <v>603</v>
      </c>
      <c r="N89" s="9" t="s">
        <v>934</v>
      </c>
      <c r="O89" s="8" t="n">
        <v>5</v>
      </c>
      <c r="P89" s="13" t="s">
        <v>168</v>
      </c>
      <c r="Q89" s="8" t="s">
        <v>126</v>
      </c>
      <c r="R89" s="8" t="s">
        <v>75</v>
      </c>
    </row>
    <row r="90" customFormat="false" ht="15" hidden="false" customHeight="false" outlineLevel="0" collapsed="false">
      <c r="A90" s="8" t="s">
        <v>935</v>
      </c>
      <c r="B90" s="8" t="n">
        <v>9</v>
      </c>
      <c r="C90" s="9" t="s">
        <v>861</v>
      </c>
      <c r="D90" s="9" t="s">
        <v>936</v>
      </c>
      <c r="E90" s="9" t="s">
        <v>937</v>
      </c>
      <c r="F90" s="9" t="s">
        <v>938</v>
      </c>
      <c r="G90" s="8" t="s">
        <v>939</v>
      </c>
      <c r="H90" s="8" t="s">
        <v>940</v>
      </c>
      <c r="I90" s="9" t="s">
        <v>933</v>
      </c>
      <c r="J90" s="9" t="s">
        <v>602</v>
      </c>
      <c r="K90" s="8"/>
      <c r="L90" s="12" t="s">
        <v>165</v>
      </c>
      <c r="M90" s="9" t="s">
        <v>603</v>
      </c>
      <c r="N90" s="9" t="s">
        <v>934</v>
      </c>
      <c r="O90" s="8" t="n">
        <v>5</v>
      </c>
      <c r="P90" s="13" t="s">
        <v>168</v>
      </c>
      <c r="Q90" s="8" t="s">
        <v>126</v>
      </c>
      <c r="R90" s="8" t="s">
        <v>75</v>
      </c>
    </row>
    <row r="91" customFormat="false" ht="29.85" hidden="false" customHeight="false" outlineLevel="0" collapsed="false">
      <c r="A91" s="8" t="s">
        <v>941</v>
      </c>
      <c r="B91" s="8" t="n">
        <v>9</v>
      </c>
      <c r="C91" s="9" t="s">
        <v>861</v>
      </c>
      <c r="D91" s="9" t="s">
        <v>942</v>
      </c>
      <c r="E91" s="9" t="s">
        <v>943</v>
      </c>
      <c r="F91" s="9" t="s">
        <v>944</v>
      </c>
      <c r="G91" s="8" t="s">
        <v>945</v>
      </c>
      <c r="H91" s="9" t="s">
        <v>946</v>
      </c>
      <c r="I91" s="9" t="s">
        <v>947</v>
      </c>
      <c r="J91" s="9" t="s">
        <v>857</v>
      </c>
      <c r="K91" s="8"/>
      <c r="L91" s="10" t="s">
        <v>71</v>
      </c>
      <c r="M91" s="9" t="s">
        <v>948</v>
      </c>
      <c r="N91" s="9" t="s">
        <v>949</v>
      </c>
      <c r="O91" s="8" t="n">
        <v>5</v>
      </c>
      <c r="P91" s="15" t="s">
        <v>269</v>
      </c>
      <c r="Q91" s="8" t="s">
        <v>75</v>
      </c>
      <c r="R91" s="8" t="s">
        <v>75</v>
      </c>
    </row>
    <row r="92" customFormat="false" ht="44" hidden="false" customHeight="false" outlineLevel="0" collapsed="false">
      <c r="A92" s="8" t="s">
        <v>950</v>
      </c>
      <c r="B92" s="8" t="n">
        <v>10</v>
      </c>
      <c r="C92" s="9" t="s">
        <v>951</v>
      </c>
      <c r="D92" s="9" t="s">
        <v>952</v>
      </c>
      <c r="E92" s="9" t="s">
        <v>953</v>
      </c>
      <c r="F92" s="9" t="s">
        <v>954</v>
      </c>
      <c r="G92" s="8" t="s">
        <v>955</v>
      </c>
      <c r="H92" s="9" t="s">
        <v>956</v>
      </c>
      <c r="I92" s="9" t="s">
        <v>957</v>
      </c>
      <c r="J92" s="9" t="s">
        <v>958</v>
      </c>
      <c r="K92" s="8"/>
      <c r="L92" s="16" t="s">
        <v>959</v>
      </c>
      <c r="M92" s="9" t="s">
        <v>960</v>
      </c>
      <c r="N92" s="9" t="s">
        <v>961</v>
      </c>
      <c r="O92" s="8" t="n">
        <v>6</v>
      </c>
      <c r="P92" s="15" t="s">
        <v>269</v>
      </c>
      <c r="Q92" s="8" t="s">
        <v>126</v>
      </c>
      <c r="R92" s="8" t="s">
        <v>126</v>
      </c>
    </row>
    <row r="93" customFormat="false" ht="29.85" hidden="false" customHeight="false" outlineLevel="0" collapsed="false">
      <c r="A93" s="8" t="s">
        <v>962</v>
      </c>
      <c r="B93" s="8" t="n">
        <v>10</v>
      </c>
      <c r="C93" s="9" t="s">
        <v>951</v>
      </c>
      <c r="D93" s="9" t="s">
        <v>963</v>
      </c>
      <c r="E93" s="9" t="s">
        <v>964</v>
      </c>
      <c r="F93" s="9" t="s">
        <v>965</v>
      </c>
      <c r="G93" s="8" t="s">
        <v>966</v>
      </c>
      <c r="H93" s="9" t="s">
        <v>967</v>
      </c>
      <c r="I93" s="9" t="s">
        <v>968</v>
      </c>
      <c r="J93" s="9" t="s">
        <v>969</v>
      </c>
      <c r="K93" s="8"/>
      <c r="L93" s="16" t="s">
        <v>959</v>
      </c>
      <c r="M93" s="9" t="s">
        <v>970</v>
      </c>
      <c r="N93" s="9" t="s">
        <v>971</v>
      </c>
      <c r="O93" s="8" t="n">
        <v>6</v>
      </c>
      <c r="P93" s="15" t="s">
        <v>269</v>
      </c>
      <c r="Q93" s="8" t="s">
        <v>126</v>
      </c>
      <c r="R93" s="8" t="s">
        <v>75</v>
      </c>
    </row>
    <row r="94" customFormat="false" ht="29.85" hidden="false" customHeight="false" outlineLevel="0" collapsed="false">
      <c r="A94" s="8" t="s">
        <v>972</v>
      </c>
      <c r="B94" s="8" t="n">
        <v>10</v>
      </c>
      <c r="C94" s="9" t="s">
        <v>951</v>
      </c>
      <c r="D94" s="9" t="s">
        <v>973</v>
      </c>
      <c r="E94" s="9" t="s">
        <v>974</v>
      </c>
      <c r="F94" s="8" t="s">
        <v>975</v>
      </c>
      <c r="G94" s="8" t="s">
        <v>976</v>
      </c>
      <c r="H94" s="8" t="s">
        <v>977</v>
      </c>
      <c r="I94" s="9" t="s">
        <v>978</v>
      </c>
      <c r="J94" s="8" t="s">
        <v>979</v>
      </c>
      <c r="K94" s="8"/>
      <c r="L94" s="12" t="s">
        <v>165</v>
      </c>
      <c r="M94" s="9" t="s">
        <v>980</v>
      </c>
      <c r="N94" s="9" t="s">
        <v>981</v>
      </c>
      <c r="O94" s="8" t="n">
        <v>6</v>
      </c>
      <c r="P94" s="13" t="s">
        <v>168</v>
      </c>
      <c r="Q94" s="8" t="s">
        <v>126</v>
      </c>
      <c r="R94" s="8" t="s">
        <v>126</v>
      </c>
    </row>
    <row r="95" customFormat="false" ht="29.85" hidden="false" customHeight="false" outlineLevel="0" collapsed="false">
      <c r="A95" s="8" t="s">
        <v>982</v>
      </c>
      <c r="B95" s="8" t="n">
        <v>10</v>
      </c>
      <c r="C95" s="9" t="s">
        <v>951</v>
      </c>
      <c r="D95" s="9" t="s">
        <v>983</v>
      </c>
      <c r="E95" s="9" t="s">
        <v>984</v>
      </c>
      <c r="F95" s="9" t="s">
        <v>985</v>
      </c>
      <c r="G95" s="8" t="s">
        <v>986</v>
      </c>
      <c r="H95" s="9" t="s">
        <v>987</v>
      </c>
      <c r="I95" s="9" t="s">
        <v>988</v>
      </c>
      <c r="J95" s="9" t="s">
        <v>857</v>
      </c>
      <c r="K95" s="8"/>
      <c r="L95" s="10" t="s">
        <v>71</v>
      </c>
      <c r="M95" s="9" t="s">
        <v>989</v>
      </c>
      <c r="N95" s="9" t="s">
        <v>990</v>
      </c>
      <c r="O95" s="8" t="n">
        <v>6</v>
      </c>
      <c r="P95" s="13" t="s">
        <v>168</v>
      </c>
      <c r="Q95" s="8" t="s">
        <v>126</v>
      </c>
      <c r="R95" s="8" t="s">
        <v>75</v>
      </c>
    </row>
    <row r="96" customFormat="false" ht="29.85" hidden="false" customHeight="false" outlineLevel="0" collapsed="false">
      <c r="A96" s="8" t="s">
        <v>991</v>
      </c>
      <c r="B96" s="8" t="n">
        <v>10</v>
      </c>
      <c r="C96" s="9" t="s">
        <v>951</v>
      </c>
      <c r="D96" s="9" t="s">
        <v>992</v>
      </c>
      <c r="E96" s="9" t="s">
        <v>993</v>
      </c>
      <c r="F96" s="9" t="s">
        <v>994</v>
      </c>
      <c r="G96" s="8" t="s">
        <v>995</v>
      </c>
      <c r="H96" s="9" t="s">
        <v>996</v>
      </c>
      <c r="I96" s="9" t="s">
        <v>997</v>
      </c>
      <c r="J96" s="9" t="s">
        <v>998</v>
      </c>
      <c r="K96" s="8"/>
      <c r="L96" s="16" t="s">
        <v>959</v>
      </c>
      <c r="M96" s="9" t="s">
        <v>999</v>
      </c>
      <c r="N96" s="8" t="s">
        <v>1000</v>
      </c>
      <c r="O96" s="8" t="n">
        <v>6</v>
      </c>
      <c r="P96" s="15" t="s">
        <v>269</v>
      </c>
      <c r="Q96" s="8" t="s">
        <v>126</v>
      </c>
      <c r="R96" s="8" t="s">
        <v>126</v>
      </c>
    </row>
    <row r="97" customFormat="false" ht="29.85" hidden="false" customHeight="false" outlineLevel="0" collapsed="false">
      <c r="A97" s="8" t="s">
        <v>1001</v>
      </c>
      <c r="B97" s="8" t="n">
        <v>10</v>
      </c>
      <c r="C97" s="9" t="s">
        <v>951</v>
      </c>
      <c r="D97" s="9" t="s">
        <v>1002</v>
      </c>
      <c r="E97" s="9" t="s">
        <v>1003</v>
      </c>
      <c r="F97" s="9" t="s">
        <v>1004</v>
      </c>
      <c r="G97" s="8" t="s">
        <v>1005</v>
      </c>
      <c r="H97" s="9" t="s">
        <v>1006</v>
      </c>
      <c r="I97" s="9" t="s">
        <v>1007</v>
      </c>
      <c r="J97" s="8" t="s">
        <v>887</v>
      </c>
      <c r="K97" s="8"/>
      <c r="L97" s="10" t="s">
        <v>71</v>
      </c>
      <c r="M97" s="9" t="s">
        <v>1008</v>
      </c>
      <c r="N97" s="9" t="s">
        <v>1009</v>
      </c>
      <c r="O97" s="8" t="n">
        <v>6</v>
      </c>
      <c r="P97" s="15" t="s">
        <v>269</v>
      </c>
      <c r="Q97" s="8" t="s">
        <v>75</v>
      </c>
      <c r="R97" s="8" t="s">
        <v>75</v>
      </c>
    </row>
    <row r="98" customFormat="false" ht="29.85" hidden="false" customHeight="false" outlineLevel="0" collapsed="false">
      <c r="A98" s="8" t="s">
        <v>1010</v>
      </c>
      <c r="B98" s="8" t="n">
        <v>10</v>
      </c>
      <c r="C98" s="9" t="s">
        <v>951</v>
      </c>
      <c r="D98" s="9" t="s">
        <v>1011</v>
      </c>
      <c r="E98" s="9" t="s">
        <v>1012</v>
      </c>
      <c r="F98" s="9" t="s">
        <v>1013</v>
      </c>
      <c r="G98" s="8" t="s">
        <v>1014</v>
      </c>
      <c r="H98" s="8" t="s">
        <v>1015</v>
      </c>
      <c r="I98" s="9" t="s">
        <v>933</v>
      </c>
      <c r="J98" s="9" t="s">
        <v>602</v>
      </c>
      <c r="K98" s="8"/>
      <c r="L98" s="12" t="s">
        <v>165</v>
      </c>
      <c r="M98" s="9" t="s">
        <v>1016</v>
      </c>
      <c r="N98" s="9" t="s">
        <v>1017</v>
      </c>
      <c r="O98" s="8" t="n">
        <v>5</v>
      </c>
      <c r="P98" s="13" t="s">
        <v>168</v>
      </c>
      <c r="Q98" s="8" t="s">
        <v>126</v>
      </c>
      <c r="R98" s="8" t="s">
        <v>75</v>
      </c>
    </row>
    <row r="99" customFormat="false" ht="29.85" hidden="false" customHeight="false" outlineLevel="0" collapsed="false">
      <c r="A99" s="8" t="s">
        <v>1018</v>
      </c>
      <c r="B99" s="8" t="n">
        <v>10</v>
      </c>
      <c r="C99" s="9" t="s">
        <v>951</v>
      </c>
      <c r="D99" s="9" t="s">
        <v>1019</v>
      </c>
      <c r="E99" s="9" t="s">
        <v>1020</v>
      </c>
      <c r="F99" s="9" t="s">
        <v>1021</v>
      </c>
      <c r="G99" s="8" t="s">
        <v>1022</v>
      </c>
      <c r="H99" s="9" t="s">
        <v>1023</v>
      </c>
      <c r="I99" s="9" t="s">
        <v>1024</v>
      </c>
      <c r="J99" s="9" t="s">
        <v>998</v>
      </c>
      <c r="K99" s="8"/>
      <c r="L99" s="16" t="s">
        <v>959</v>
      </c>
      <c r="M99" s="9" t="s">
        <v>1025</v>
      </c>
      <c r="N99" s="9" t="s">
        <v>1026</v>
      </c>
      <c r="O99" s="8" t="n">
        <v>6</v>
      </c>
      <c r="P99" s="15" t="s">
        <v>269</v>
      </c>
      <c r="Q99" s="8" t="s">
        <v>126</v>
      </c>
      <c r="R99" s="8" t="s">
        <v>126</v>
      </c>
    </row>
    <row r="100" customFormat="false" ht="29.85" hidden="false" customHeight="false" outlineLevel="0" collapsed="false">
      <c r="A100" s="8" t="s">
        <v>1027</v>
      </c>
      <c r="B100" s="8" t="n">
        <v>10</v>
      </c>
      <c r="C100" s="9" t="s">
        <v>951</v>
      </c>
      <c r="D100" s="9" t="s">
        <v>1028</v>
      </c>
      <c r="E100" s="9" t="s">
        <v>1029</v>
      </c>
      <c r="F100" s="9" t="s">
        <v>1030</v>
      </c>
      <c r="G100" s="8" t="s">
        <v>1031</v>
      </c>
      <c r="H100" s="9" t="s">
        <v>1032</v>
      </c>
      <c r="I100" s="9" t="s">
        <v>1033</v>
      </c>
      <c r="J100" s="8" t="s">
        <v>1034</v>
      </c>
      <c r="K100" s="8"/>
      <c r="L100" s="12" t="s">
        <v>165</v>
      </c>
      <c r="M100" s="9" t="s">
        <v>1035</v>
      </c>
      <c r="N100" s="9" t="s">
        <v>1036</v>
      </c>
      <c r="O100" s="8" t="n">
        <v>5</v>
      </c>
      <c r="P100" s="13" t="s">
        <v>168</v>
      </c>
      <c r="Q100" s="8" t="s">
        <v>126</v>
      </c>
      <c r="R100" s="8" t="s">
        <v>75</v>
      </c>
    </row>
    <row r="101" customFormat="false" ht="29.85" hidden="false" customHeight="false" outlineLevel="0" collapsed="false">
      <c r="A101" s="8" t="s">
        <v>1037</v>
      </c>
      <c r="B101" s="8" t="n">
        <v>10</v>
      </c>
      <c r="C101" s="9" t="s">
        <v>951</v>
      </c>
      <c r="D101" s="9" t="s">
        <v>1038</v>
      </c>
      <c r="E101" s="9" t="s">
        <v>1039</v>
      </c>
      <c r="F101" s="9" t="s">
        <v>1040</v>
      </c>
      <c r="G101" s="8" t="s">
        <v>1041</v>
      </c>
      <c r="H101" s="9" t="s">
        <v>1042</v>
      </c>
      <c r="I101" s="9" t="s">
        <v>1043</v>
      </c>
      <c r="J101" s="8" t="s">
        <v>1044</v>
      </c>
      <c r="K101" s="8"/>
      <c r="L101" s="12" t="s">
        <v>165</v>
      </c>
      <c r="M101" s="9" t="s">
        <v>1045</v>
      </c>
      <c r="N101" s="9" t="s">
        <v>1046</v>
      </c>
      <c r="O101" s="8" t="n">
        <v>6</v>
      </c>
      <c r="P101" s="13" t="s">
        <v>168</v>
      </c>
      <c r="Q101" s="8" t="s">
        <v>126</v>
      </c>
      <c r="R101" s="8" t="s">
        <v>126</v>
      </c>
    </row>
  </sheetData>
  <autoFilter ref="A1:R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17" t="s">
        <v>44</v>
      </c>
      <c r="B1" s="17" t="s">
        <v>45</v>
      </c>
      <c r="C1" s="18" t="s">
        <v>7</v>
      </c>
      <c r="D1" s="18" t="s">
        <v>1047</v>
      </c>
      <c r="E1" s="17" t="s">
        <v>74</v>
      </c>
      <c r="F1" s="17" t="s">
        <v>269</v>
      </c>
      <c r="G1" s="17" t="s">
        <v>168</v>
      </c>
      <c r="H1" s="17" t="s">
        <v>1048</v>
      </c>
    </row>
    <row r="2" customFormat="false" ht="15" hidden="false" customHeight="false" outlineLevel="0" collapsed="false">
      <c r="A2" s="0" t="n">
        <v>1</v>
      </c>
      <c r="B2" s="19" t="s">
        <v>62</v>
      </c>
      <c r="C2" s="0" t="n">
        <f aca="false">COUNTIF(FAQ_Data!B:B,1)</f>
        <v>10</v>
      </c>
      <c r="D2" s="0" t="n">
        <f aca="false">SUMIF(FAQ_Data!B:B,1,FAQ_Data!O:O)</f>
        <v>50</v>
      </c>
      <c r="E2" s="0" t="n">
        <f aca="false">COUNTIFS(FAQ_Data!B:B,1,FAQ_Data!P:P,"smoke")</f>
        <v>1</v>
      </c>
      <c r="F2" s="0" t="n">
        <f aca="false">COUNTIFS(FAQ_Data!B:B,1,FAQ_Data!P:P,"core")</f>
        <v>0</v>
      </c>
      <c r="G2" s="0" t="n">
        <f aca="false">COUNTIFS(FAQ_Data!B:B,1,FAQ_Data!P:P,"edge")</f>
        <v>1</v>
      </c>
      <c r="H2" s="0" t="n">
        <f aca="false">COUNTIFS(FAQ_Data!B:B,1,FAQ_Data!R:R,"Y")</f>
        <v>1</v>
      </c>
    </row>
    <row r="3" customFormat="false" ht="15" hidden="false" customHeight="false" outlineLevel="0" collapsed="false">
      <c r="A3" s="0" t="n">
        <v>2</v>
      </c>
      <c r="B3" s="19" t="s">
        <v>170</v>
      </c>
      <c r="C3" s="0" t="n">
        <f aca="false">COUNTIF(FAQ_Data!B:B,2)</f>
        <v>10</v>
      </c>
      <c r="D3" s="0" t="n">
        <f aca="false">SUMIF(FAQ_Data!B:B,2,FAQ_Data!O:O)</f>
        <v>50</v>
      </c>
      <c r="E3" s="0" t="n">
        <f aca="false">COUNTIFS(FAQ_Data!B:B,2,FAQ_Data!P:P,"smoke")</f>
        <v>1</v>
      </c>
      <c r="F3" s="0" t="n">
        <f aca="false">COUNTIFS(FAQ_Data!B:B,2,FAQ_Data!P:P,"core")</f>
        <v>1</v>
      </c>
      <c r="G3" s="0" t="n">
        <f aca="false">COUNTIFS(FAQ_Data!B:B,2,FAQ_Data!P:P,"edge")</f>
        <v>0</v>
      </c>
      <c r="H3" s="0" t="n">
        <f aca="false">COUNTIFS(FAQ_Data!B:B,2,FAQ_Data!R:R,"Y")</f>
        <v>1</v>
      </c>
    </row>
    <row r="4" customFormat="false" ht="15" hidden="false" customHeight="false" outlineLevel="0" collapsed="false">
      <c r="A4" s="0" t="n">
        <v>3</v>
      </c>
      <c r="B4" s="19" t="s">
        <v>271</v>
      </c>
      <c r="C4" s="0" t="n">
        <f aca="false">COUNTIF(FAQ_Data!B:B,3)</f>
        <v>10</v>
      </c>
      <c r="D4" s="0" t="n">
        <f aca="false">SUMIF(FAQ_Data!B:B,3,FAQ_Data!O:O)</f>
        <v>50</v>
      </c>
      <c r="E4" s="0" t="n">
        <f aca="false">COUNTIFS(FAQ_Data!B:B,3,FAQ_Data!P:P,"smoke")</f>
        <v>0</v>
      </c>
      <c r="F4" s="0" t="n">
        <f aca="false">COUNTIFS(FAQ_Data!B:B,3,FAQ_Data!P:P,"core")</f>
        <v>3</v>
      </c>
      <c r="G4" s="0" t="n">
        <f aca="false">COUNTIFS(FAQ_Data!B:B,3,FAQ_Data!P:P,"edge")</f>
        <v>0</v>
      </c>
      <c r="H4" s="0" t="n">
        <f aca="false">COUNTIFS(FAQ_Data!B:B,3,FAQ_Data!R:R,"Y")</f>
        <v>1</v>
      </c>
    </row>
    <row r="5" customFormat="false" ht="15" hidden="false" customHeight="false" outlineLevel="0" collapsed="false">
      <c r="A5" s="0" t="n">
        <v>4</v>
      </c>
      <c r="B5" s="19" t="s">
        <v>371</v>
      </c>
      <c r="C5" s="0" t="n">
        <f aca="false">COUNTIF(FAQ_Data!B:B,4)</f>
        <v>10</v>
      </c>
      <c r="D5" s="0" t="n">
        <f aca="false">SUMIF(FAQ_Data!B:B,4,FAQ_Data!O:O)</f>
        <v>51</v>
      </c>
      <c r="E5" s="0" t="n">
        <f aca="false">COUNTIFS(FAQ_Data!B:B,4,FAQ_Data!P:P,"smoke")</f>
        <v>1</v>
      </c>
      <c r="F5" s="0" t="n">
        <f aca="false">COUNTIFS(FAQ_Data!B:B,4,FAQ_Data!P:P,"core")</f>
        <v>3</v>
      </c>
      <c r="G5" s="0" t="n">
        <f aca="false">COUNTIFS(FAQ_Data!B:B,4,FAQ_Data!P:P,"edge")</f>
        <v>0</v>
      </c>
      <c r="H5" s="0" t="n">
        <f aca="false">COUNTIFS(FAQ_Data!B:B,4,FAQ_Data!R:R,"Y")</f>
        <v>4</v>
      </c>
    </row>
    <row r="6" customFormat="false" ht="15" hidden="false" customHeight="false" outlineLevel="0" collapsed="false">
      <c r="A6" s="0" t="n">
        <v>5</v>
      </c>
      <c r="B6" s="19" t="s">
        <v>470</v>
      </c>
      <c r="C6" s="0" t="n">
        <f aca="false">COUNTIF(FAQ_Data!B:B,5)</f>
        <v>10</v>
      </c>
      <c r="D6" s="0" t="n">
        <f aca="false">SUMIF(FAQ_Data!B:B,5,FAQ_Data!O:O)</f>
        <v>50</v>
      </c>
      <c r="E6" s="0" t="n">
        <f aca="false">COUNTIFS(FAQ_Data!B:B,5,FAQ_Data!P:P,"smoke")</f>
        <v>1</v>
      </c>
      <c r="F6" s="0" t="n">
        <f aca="false">COUNTIFS(FAQ_Data!B:B,5,FAQ_Data!P:P,"core")</f>
        <v>1</v>
      </c>
      <c r="G6" s="0" t="n">
        <f aca="false">COUNTIFS(FAQ_Data!B:B,5,FAQ_Data!P:P,"edge")</f>
        <v>0</v>
      </c>
      <c r="H6" s="0" t="n">
        <f aca="false">COUNTIFS(FAQ_Data!B:B,5,FAQ_Data!R:R,"Y")</f>
        <v>2</v>
      </c>
    </row>
    <row r="7" customFormat="false" ht="15" hidden="false" customHeight="false" outlineLevel="0" collapsed="false">
      <c r="A7" s="0" t="n">
        <v>6</v>
      </c>
      <c r="B7" s="19" t="s">
        <v>567</v>
      </c>
      <c r="C7" s="0" t="n">
        <f aca="false">COUNTIF(FAQ_Data!B:B,6)</f>
        <v>10</v>
      </c>
      <c r="D7" s="0" t="n">
        <f aca="false">SUMIF(FAQ_Data!B:B,6,FAQ_Data!O:O)</f>
        <v>50</v>
      </c>
      <c r="E7" s="0" t="n">
        <f aca="false">COUNTIFS(FAQ_Data!B:B,6,FAQ_Data!P:P,"smoke")</f>
        <v>1</v>
      </c>
      <c r="F7" s="0" t="n">
        <f aca="false">COUNTIFS(FAQ_Data!B:B,6,FAQ_Data!P:P,"core")</f>
        <v>1</v>
      </c>
      <c r="G7" s="0" t="n">
        <f aca="false">COUNTIFS(FAQ_Data!B:B,6,FAQ_Data!P:P,"edge")</f>
        <v>1</v>
      </c>
      <c r="H7" s="0" t="n">
        <f aca="false">COUNTIFS(FAQ_Data!B:B,6,FAQ_Data!R:R,"Y")</f>
        <v>0</v>
      </c>
    </row>
    <row r="8" customFormat="false" ht="15" hidden="false" customHeight="false" outlineLevel="0" collapsed="false">
      <c r="A8" s="0" t="n">
        <v>7</v>
      </c>
      <c r="B8" s="19" t="s">
        <v>663</v>
      </c>
      <c r="C8" s="0" t="n">
        <f aca="false">COUNTIF(FAQ_Data!B:B,7)</f>
        <v>10</v>
      </c>
      <c r="D8" s="0" t="n">
        <f aca="false">SUMIF(FAQ_Data!B:B,7,FAQ_Data!O:O)</f>
        <v>50</v>
      </c>
      <c r="E8" s="0" t="n">
        <f aca="false">COUNTIFS(FAQ_Data!B:B,7,FAQ_Data!P:P,"smoke")</f>
        <v>0</v>
      </c>
      <c r="F8" s="0" t="n">
        <f aca="false">COUNTIFS(FAQ_Data!B:B,7,FAQ_Data!P:P,"core")</f>
        <v>1</v>
      </c>
      <c r="G8" s="0" t="n">
        <f aca="false">COUNTIFS(FAQ_Data!B:B,7,FAQ_Data!P:P,"edge")</f>
        <v>0</v>
      </c>
      <c r="H8" s="0" t="n">
        <f aca="false">COUNTIFS(FAQ_Data!B:B,7,FAQ_Data!R:R,"Y")</f>
        <v>0</v>
      </c>
    </row>
    <row r="9" customFormat="false" ht="15" hidden="false" customHeight="false" outlineLevel="0" collapsed="false">
      <c r="A9" s="0" t="n">
        <v>8</v>
      </c>
      <c r="B9" s="19" t="s">
        <v>762</v>
      </c>
      <c r="C9" s="0" t="n">
        <f aca="false">COUNTIF(FAQ_Data!B:B,8)</f>
        <v>10</v>
      </c>
      <c r="D9" s="0" t="n">
        <f aca="false">SUMIF(FAQ_Data!B:B,8,FAQ_Data!O:O)</f>
        <v>50</v>
      </c>
      <c r="E9" s="0" t="n">
        <f aca="false">COUNTIFS(FAQ_Data!B:B,8,FAQ_Data!P:P,"smoke")</f>
        <v>0</v>
      </c>
      <c r="F9" s="0" t="n">
        <f aca="false">COUNTIFS(FAQ_Data!B:B,8,FAQ_Data!P:P,"core")</f>
        <v>3</v>
      </c>
      <c r="G9" s="0" t="n">
        <f aca="false">COUNTIFS(FAQ_Data!B:B,8,FAQ_Data!P:P,"edge")</f>
        <v>0</v>
      </c>
      <c r="H9" s="0" t="n">
        <f aca="false">COUNTIFS(FAQ_Data!B:B,8,FAQ_Data!R:R,"Y")</f>
        <v>2</v>
      </c>
    </row>
    <row r="10" customFormat="false" ht="15" hidden="false" customHeight="false" outlineLevel="0" collapsed="false">
      <c r="A10" s="0" t="n">
        <v>9</v>
      </c>
      <c r="B10" s="19" t="s">
        <v>861</v>
      </c>
      <c r="C10" s="0" t="n">
        <f aca="false">COUNTIF(FAQ_Data!B:B,9)</f>
        <v>10</v>
      </c>
      <c r="D10" s="0" t="n">
        <f aca="false">SUMIF(FAQ_Data!B:B,9,FAQ_Data!O:O)</f>
        <v>50</v>
      </c>
      <c r="E10" s="0" t="n">
        <f aca="false">COUNTIFS(FAQ_Data!B:B,9,FAQ_Data!P:P,"smoke")</f>
        <v>0</v>
      </c>
      <c r="F10" s="0" t="n">
        <f aca="false">COUNTIFS(FAQ_Data!B:B,9,FAQ_Data!P:P,"core")</f>
        <v>2</v>
      </c>
      <c r="G10" s="0" t="n">
        <f aca="false">COUNTIFS(FAQ_Data!B:B,9,FAQ_Data!P:P,"edge")</f>
        <v>2</v>
      </c>
      <c r="H10" s="0" t="n">
        <f aca="false">COUNTIFS(FAQ_Data!B:B,9,FAQ_Data!R:R,"Y")</f>
        <v>0</v>
      </c>
    </row>
    <row r="11" customFormat="false" ht="15" hidden="false" customHeight="false" outlineLevel="0" collapsed="false">
      <c r="A11" s="0" t="n">
        <v>10</v>
      </c>
      <c r="B11" s="19" t="s">
        <v>951</v>
      </c>
      <c r="C11" s="0" t="n">
        <f aca="false">COUNTIF(FAQ_Data!B:B,10)</f>
        <v>10</v>
      </c>
      <c r="D11" s="0" t="n">
        <f aca="false">SUMIF(FAQ_Data!B:B,10,FAQ_Data!O:O)</f>
        <v>58</v>
      </c>
      <c r="E11" s="0" t="n">
        <f aca="false">COUNTIFS(FAQ_Data!B:B,10,FAQ_Data!P:P,"smoke")</f>
        <v>0</v>
      </c>
      <c r="F11" s="0" t="n">
        <f aca="false">COUNTIFS(FAQ_Data!B:B,10,FAQ_Data!P:P,"core")</f>
        <v>5</v>
      </c>
      <c r="G11" s="0" t="n">
        <f aca="false">COUNTIFS(FAQ_Data!B:B,10,FAQ_Data!P:P,"edge")</f>
        <v>5</v>
      </c>
      <c r="H11" s="0" t="n">
        <f aca="false">COUNTIFS(FAQ_Data!B:B,10,FAQ_Data!R:R,"Y")</f>
        <v>5</v>
      </c>
    </row>
    <row r="12" customFormat="false" ht="15" hidden="false" customHeight="false" outlineLevel="0" collapsed="false">
      <c r="B12" s="20" t="s">
        <v>1049</v>
      </c>
      <c r="C12" s="6" t="n">
        <f aca="false">SUM(C2:C11)</f>
        <v>100</v>
      </c>
      <c r="D12" s="6" t="n">
        <f aca="false">SUM(D2:D11)</f>
        <v>509</v>
      </c>
      <c r="E12" s="6" t="n">
        <f aca="false">SUM(E2:E11)</f>
        <v>5</v>
      </c>
      <c r="F12" s="6" t="n">
        <f aca="false">SUM(F2:F11)</f>
        <v>20</v>
      </c>
      <c r="G12" s="6" t="n">
        <f aca="false">SUM(G2:G11)</f>
        <v>9</v>
      </c>
      <c r="H12" s="6" t="n">
        <f aca="false">SUM(H2:H11)</f>
        <v>16</v>
      </c>
    </row>
    <row r="15" customFormat="false" ht="15" hidden="false" customHeight="false" outlineLevel="0" collapsed="false">
      <c r="A15" s="20" t="s">
        <v>1050</v>
      </c>
    </row>
    <row r="16" customFormat="false" ht="17.15" hidden="false" customHeight="false" outlineLevel="0" collapsed="false">
      <c r="B16" s="0" t="s">
        <v>1051</v>
      </c>
      <c r="C16" s="20" t="n">
        <f aca="false">ROUND(D12*0.7,0)</f>
        <v>356</v>
      </c>
    </row>
    <row r="17" customFormat="false" ht="17.15" hidden="false" customHeight="false" outlineLevel="0" collapsed="false">
      <c r="B17" s="0" t="s">
        <v>1052</v>
      </c>
      <c r="C17" s="20" t="n">
        <f aca="false">ROUND(D12*0.8,0)</f>
        <v>407</v>
      </c>
    </row>
    <row r="18" customFormat="false" ht="17.15" hidden="false" customHeight="false" outlineLevel="0" collapsed="false">
      <c r="B18" s="0" t="s">
        <v>1053</v>
      </c>
      <c r="C18" s="20" t="n">
        <f aca="false">ROUND(D12*0.9,0)</f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5"/>
    <col collapsed="false" customWidth="true" hidden="false" outlineLevel="0" max="4" min="4" style="0" width="30"/>
  </cols>
  <sheetData>
    <row r="1" customFormat="false" ht="17.15" hidden="false" customHeight="false" outlineLevel="0" collapsed="false">
      <c r="A1" s="18" t="s">
        <v>1054</v>
      </c>
      <c r="B1" s="18" t="s">
        <v>1055</v>
      </c>
      <c r="C1" s="18" t="s">
        <v>1</v>
      </c>
      <c r="D1" s="17" t="s">
        <v>1056</v>
      </c>
    </row>
    <row r="2" customFormat="false" ht="15" hidden="false" customHeight="false" outlineLevel="0" collapsed="false">
      <c r="A2" s="8" t="s">
        <v>43</v>
      </c>
      <c r="B2" s="9" t="s">
        <v>1057</v>
      </c>
      <c r="C2" s="8" t="s">
        <v>1058</v>
      </c>
      <c r="D2" s="9" t="s">
        <v>1059</v>
      </c>
    </row>
    <row r="3" customFormat="false" ht="15" hidden="false" customHeight="false" outlineLevel="0" collapsed="false">
      <c r="A3" s="8" t="s">
        <v>44</v>
      </c>
      <c r="B3" s="9" t="s">
        <v>1060</v>
      </c>
      <c r="C3" s="9" t="s">
        <v>1061</v>
      </c>
      <c r="D3" s="9" t="s">
        <v>1062</v>
      </c>
    </row>
    <row r="4" customFormat="false" ht="15" hidden="false" customHeight="false" outlineLevel="0" collapsed="false">
      <c r="A4" s="8" t="s">
        <v>45</v>
      </c>
      <c r="B4" s="9" t="s">
        <v>1063</v>
      </c>
      <c r="C4" s="9" t="s">
        <v>1064</v>
      </c>
      <c r="D4" s="9" t="s">
        <v>1065</v>
      </c>
    </row>
    <row r="5" customFormat="false" ht="15" hidden="false" customHeight="false" outlineLevel="0" collapsed="false">
      <c r="A5" s="8" t="s">
        <v>46</v>
      </c>
      <c r="B5" s="9" t="s">
        <v>1066</v>
      </c>
      <c r="C5" s="9" t="s">
        <v>1067</v>
      </c>
      <c r="D5" s="9" t="s">
        <v>1068</v>
      </c>
    </row>
    <row r="6" customFormat="false" ht="15" hidden="false" customHeight="false" outlineLevel="0" collapsed="false">
      <c r="A6" s="8" t="s">
        <v>47</v>
      </c>
      <c r="B6" s="9" t="s">
        <v>1069</v>
      </c>
      <c r="C6" s="9" t="s">
        <v>1070</v>
      </c>
      <c r="D6" s="9" t="s">
        <v>1071</v>
      </c>
    </row>
    <row r="7" customFormat="false" ht="15" hidden="false" customHeight="false" outlineLevel="0" collapsed="false">
      <c r="A7" s="8" t="s">
        <v>48</v>
      </c>
      <c r="B7" s="9" t="s">
        <v>1072</v>
      </c>
      <c r="C7" s="9" t="s">
        <v>1073</v>
      </c>
      <c r="D7" s="9" t="s">
        <v>1074</v>
      </c>
    </row>
    <row r="8" customFormat="false" ht="15" hidden="false" customHeight="false" outlineLevel="0" collapsed="false">
      <c r="A8" s="8" t="s">
        <v>49</v>
      </c>
      <c r="B8" s="9" t="s">
        <v>1075</v>
      </c>
      <c r="C8" s="9" t="s">
        <v>1076</v>
      </c>
      <c r="D8" s="9" t="s">
        <v>1077</v>
      </c>
    </row>
    <row r="9" customFormat="false" ht="15" hidden="false" customHeight="false" outlineLevel="0" collapsed="false">
      <c r="A9" s="8" t="s">
        <v>50</v>
      </c>
      <c r="B9" s="8" t="s">
        <v>1078</v>
      </c>
      <c r="C9" s="9" t="s">
        <v>1079</v>
      </c>
      <c r="D9" s="9" t="s">
        <v>1080</v>
      </c>
    </row>
    <row r="10" customFormat="false" ht="15" hidden="false" customHeight="false" outlineLevel="0" collapsed="false">
      <c r="A10" s="8" t="s">
        <v>51</v>
      </c>
      <c r="B10" s="9" t="s">
        <v>1081</v>
      </c>
      <c r="C10" s="9" t="s">
        <v>1082</v>
      </c>
      <c r="D10" s="8" t="s">
        <v>1083</v>
      </c>
    </row>
    <row r="11" customFormat="false" ht="15" hidden="false" customHeight="false" outlineLevel="0" collapsed="false">
      <c r="A11" s="8" t="s">
        <v>52</v>
      </c>
      <c r="B11" s="9" t="s">
        <v>1084</v>
      </c>
      <c r="C11" s="8" t="s">
        <v>1085</v>
      </c>
      <c r="D11" s="9" t="s">
        <v>1086</v>
      </c>
    </row>
    <row r="12" customFormat="false" ht="15" hidden="false" customHeight="false" outlineLevel="0" collapsed="false">
      <c r="A12" s="8" t="s">
        <v>53</v>
      </c>
      <c r="B12" s="9" t="s">
        <v>1087</v>
      </c>
      <c r="C12" s="9" t="s">
        <v>1088</v>
      </c>
      <c r="D12" s="9" t="s">
        <v>1089</v>
      </c>
    </row>
    <row r="13" customFormat="false" ht="15" hidden="false" customHeight="false" outlineLevel="0" collapsed="false">
      <c r="A13" s="8" t="s">
        <v>54</v>
      </c>
      <c r="B13" s="9" t="s">
        <v>1090</v>
      </c>
      <c r="C13" s="9" t="s">
        <v>1091</v>
      </c>
      <c r="D13" s="9" t="s">
        <v>1092</v>
      </c>
    </row>
    <row r="14" customFormat="false" ht="15" hidden="false" customHeight="false" outlineLevel="0" collapsed="false">
      <c r="A14" s="8" t="s">
        <v>55</v>
      </c>
      <c r="B14" s="9" t="s">
        <v>1093</v>
      </c>
      <c r="C14" s="9" t="s">
        <v>1094</v>
      </c>
      <c r="D14" s="9" t="s">
        <v>1095</v>
      </c>
    </row>
    <row r="15" customFormat="false" ht="15" hidden="false" customHeight="false" outlineLevel="0" collapsed="false">
      <c r="A15" s="8" t="s">
        <v>56</v>
      </c>
      <c r="B15" s="9" t="s">
        <v>1096</v>
      </c>
      <c r="C15" s="9" t="s">
        <v>1097</v>
      </c>
      <c r="D15" s="8" t="s">
        <v>1098</v>
      </c>
    </row>
    <row r="16" customFormat="false" ht="15" hidden="false" customHeight="false" outlineLevel="0" collapsed="false">
      <c r="A16" s="8" t="s">
        <v>57</v>
      </c>
      <c r="B16" s="9" t="s">
        <v>1099</v>
      </c>
      <c r="C16" s="9" t="s">
        <v>1100</v>
      </c>
      <c r="D16" s="9" t="s">
        <v>1101</v>
      </c>
    </row>
    <row r="17" customFormat="false" ht="15" hidden="false" customHeight="false" outlineLevel="0" collapsed="false">
      <c r="A17" s="8" t="s">
        <v>58</v>
      </c>
      <c r="B17" s="8" t="s">
        <v>1102</v>
      </c>
      <c r="C17" s="9" t="s">
        <v>1103</v>
      </c>
      <c r="D17" s="9" t="s">
        <v>1104</v>
      </c>
    </row>
    <row r="18" customFormat="false" ht="15" hidden="false" customHeight="false" outlineLevel="0" collapsed="false">
      <c r="A18" s="8" t="s">
        <v>59</v>
      </c>
      <c r="B18" s="8" t="s">
        <v>1105</v>
      </c>
      <c r="C18" s="9" t="s">
        <v>603</v>
      </c>
      <c r="D18" s="9" t="s">
        <v>1106</v>
      </c>
    </row>
    <row r="19" customFormat="false" ht="15" hidden="false" customHeight="false" outlineLevel="0" collapsed="false">
      <c r="A19" s="8" t="s">
        <v>60</v>
      </c>
      <c r="B19" s="8" t="s">
        <v>1107</v>
      </c>
      <c r="C19" s="9" t="s">
        <v>1108</v>
      </c>
      <c r="D19" s="9" t="s">
        <v>1109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2026-05-21T10:43:48Z</dcterms:created>
  <dc:creator>openpyxl</dc:creator>
  <dc:description/>
  <dc:language>en-US</dc:language>
  <cp:lastModifiedBy/>
  <dcterms:modified xsi:type="dcterms:W3CDTF">2026-05-21T10:43:48Z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