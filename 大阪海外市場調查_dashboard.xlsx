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我的個人上下文\outputs\"/>
    </mc:Choice>
  </mc:AlternateContent>
  <xr:revisionPtr revIDLastSave="0" documentId="8_{F9079E40-347D-4437-8B85-9F9ADBA1466C}" xr6:coauthVersionLast="47" xr6:coauthVersionMax="47" xr10:uidLastSave="{00000000-0000-0000-0000-000000000000}"/>
  <bookViews>
    <workbookView xWindow="0" yWindow="2472" windowWidth="23040" windowHeight="9768" xr2:uid="{00000000-000D-0000-FFFF-FFFF00000000}"/>
  </bookViews>
  <sheets>
    <sheet name="目錄" sheetId="1" r:id="rId1"/>
    <sheet name="01_交叉分析_性別" sheetId="3" r:id="rId2"/>
    <sheet name="02_旅行頻度_同行者" sheetId="4" r:id="rId3"/>
    <sheet name="03_大阪認知_訪問経験" sheetId="5" r:id="rId4"/>
    <sheet name="04_旅遊意向" sheetId="6" r:id="rId5"/>
    <sheet name="05_目的地重視点" sheetId="7" r:id="rId6"/>
    <sheet name="06_大阪目的地形象" sheetId="8" r:id="rId7"/>
    <sheet name="07_活動選定因素" sheetId="9" r:id="rId8"/>
    <sheet name="08_大阪活動意向" sheetId="10" r:id="rId9"/>
    <sheet name="09_交通手段決定時期" sheetId="11" r:id="rId10"/>
    <sheet name="10_資訊收集來源" sheetId="12" r:id="rId11"/>
  </sheets>
  <definedNames>
    <definedName name="_xlnm._FilterDatabase" localSheetId="1" hidden="1">'01_交叉分析_性別'!$A$5:$M$8</definedName>
    <definedName name="_xlnm._FilterDatabase" localSheetId="2" hidden="1">'02_旅行頻度_同行者'!$A$5:$M$14</definedName>
    <definedName name="_xlnm._FilterDatabase" localSheetId="3" hidden="1">'03_大阪認知_訪問経験'!$A$5:$M$10</definedName>
    <definedName name="_xlnm._FilterDatabase" localSheetId="4" hidden="1">'04_旅遊意向'!$A$5:$M$20</definedName>
    <definedName name="_xlnm._FilterDatabase" localSheetId="5" hidden="1">'05_目的地重視点'!$A$5:$M$24</definedName>
    <definedName name="_xlnm._FilterDatabase" localSheetId="6" hidden="1">'06_大阪目的地形象'!$A$5:$M$24</definedName>
    <definedName name="_xlnm._FilterDatabase" localSheetId="7" hidden="1">'07_活動選定因素'!$A$5:$M$16</definedName>
    <definedName name="_xlnm._FilterDatabase" localSheetId="8" hidden="1">'08_大阪活動意向'!$A$5:$M$27</definedName>
    <definedName name="_xlnm._FilterDatabase" localSheetId="9" hidden="1">'09_交通手段決定時期'!$A$5:$M$13</definedName>
    <definedName name="_xlnm._FilterDatabase" localSheetId="10" hidden="1">'10_資訊收集來源'!$A$5:$M$25</definedName>
  </definedNames>
  <calcPr calcId="181029"/>
</workbook>
</file>

<file path=xl/calcChain.xml><?xml version="1.0" encoding="utf-8"?>
<calcChain xmlns="http://schemas.openxmlformats.org/spreadsheetml/2006/main">
  <c r="M14" i="11" l="1"/>
  <c r="M15" i="11" s="1"/>
  <c r="L14" i="11"/>
  <c r="L15" i="11" s="1"/>
  <c r="K14" i="11"/>
  <c r="K15" i="11" s="1"/>
  <c r="J14" i="11"/>
  <c r="J15" i="11" s="1"/>
  <c r="I14" i="11"/>
  <c r="I15" i="11" s="1"/>
  <c r="H14" i="11"/>
  <c r="H15" i="11" s="1"/>
  <c r="G14" i="11"/>
  <c r="G15" i="11" s="1"/>
  <c r="F14" i="11"/>
  <c r="F15" i="11" s="1"/>
  <c r="E14" i="11"/>
  <c r="E15" i="11" s="1"/>
  <c r="D14" i="11"/>
  <c r="D15" i="11" s="1"/>
  <c r="C14" i="11"/>
  <c r="C15" i="11" s="1"/>
  <c r="B14" i="11"/>
  <c r="B15" i="11" s="1"/>
  <c r="M17" i="9"/>
  <c r="M18" i="9" s="1"/>
  <c r="L17" i="9"/>
  <c r="L18" i="9" s="1"/>
  <c r="K17" i="9"/>
  <c r="K18" i="9" s="1"/>
  <c r="J17" i="9"/>
  <c r="J18" i="9" s="1"/>
  <c r="I17" i="9"/>
  <c r="I18" i="9" s="1"/>
  <c r="H17" i="9"/>
  <c r="H18" i="9" s="1"/>
  <c r="G17" i="9"/>
  <c r="G18" i="9" s="1"/>
  <c r="F17" i="9"/>
  <c r="F18" i="9" s="1"/>
  <c r="E17" i="9"/>
  <c r="E18" i="9" s="1"/>
  <c r="D17" i="9"/>
  <c r="D18" i="9" s="1"/>
  <c r="C17" i="9"/>
  <c r="C18" i="9" s="1"/>
  <c r="B17" i="9"/>
  <c r="B18" i="9" s="1"/>
  <c r="F12" i="5"/>
  <c r="M11" i="5"/>
  <c r="M12" i="5" s="1"/>
  <c r="L11" i="5"/>
  <c r="L12" i="5" s="1"/>
  <c r="K11" i="5"/>
  <c r="K12" i="5" s="1"/>
  <c r="J11" i="5"/>
  <c r="J12" i="5" s="1"/>
  <c r="I11" i="5"/>
  <c r="I12" i="5" s="1"/>
  <c r="H11" i="5"/>
  <c r="H12" i="5" s="1"/>
  <c r="G11" i="5"/>
  <c r="G12" i="5" s="1"/>
  <c r="F11" i="5"/>
  <c r="E11" i="5"/>
  <c r="E12" i="5" s="1"/>
  <c r="D11" i="5"/>
  <c r="D12" i="5" s="1"/>
  <c r="C11" i="5"/>
  <c r="C12" i="5" s="1"/>
  <c r="B11" i="5"/>
  <c r="B12" i="5" s="1"/>
  <c r="M15" i="4"/>
  <c r="M16" i="4" s="1"/>
  <c r="L15" i="4"/>
  <c r="L16" i="4" s="1"/>
  <c r="K15" i="4"/>
  <c r="K16" i="4" s="1"/>
  <c r="J15" i="4"/>
  <c r="J16" i="4" s="1"/>
  <c r="I15" i="4"/>
  <c r="I16" i="4" s="1"/>
  <c r="H15" i="4"/>
  <c r="H16" i="4" s="1"/>
  <c r="G15" i="4"/>
  <c r="G16" i="4" s="1"/>
  <c r="F15" i="4"/>
  <c r="F16" i="4" s="1"/>
  <c r="E15" i="4"/>
  <c r="E16" i="4" s="1"/>
  <c r="D15" i="4"/>
  <c r="D16" i="4" s="1"/>
  <c r="C15" i="4"/>
  <c r="C16" i="4" s="1"/>
  <c r="B15" i="4"/>
  <c r="B16" i="4" s="1"/>
  <c r="G10" i="3"/>
  <c r="M9" i="3"/>
  <c r="M10" i="3" s="1"/>
  <c r="L9" i="3"/>
  <c r="L10" i="3" s="1"/>
  <c r="K9" i="3"/>
  <c r="K10" i="3" s="1"/>
  <c r="J9" i="3"/>
  <c r="J10" i="3" s="1"/>
  <c r="I9" i="3"/>
  <c r="I10" i="3" s="1"/>
  <c r="H9" i="3"/>
  <c r="H10" i="3" s="1"/>
  <c r="G9" i="3"/>
  <c r="F9" i="3"/>
  <c r="F10" i="3" s="1"/>
  <c r="E9" i="3"/>
  <c r="E10" i="3" s="1"/>
  <c r="D9" i="3"/>
  <c r="D10" i="3" s="1"/>
  <c r="C9" i="3"/>
  <c r="C10" i="3" s="1"/>
  <c r="B9" i="3"/>
  <c r="B10" i="3" s="1"/>
</calcChain>
</file>

<file path=xl/sharedStrings.xml><?xml version="1.0" encoding="utf-8"?>
<sst xmlns="http://schemas.openxmlformats.org/spreadsheetml/2006/main" count="372" uniqueCount="168">
  <si>
    <t>大阪海外市場調查 - 數據表格版</t>
  </si>
  <si>
    <t>序號</t>
  </si>
  <si>
    <t>工作表</t>
  </si>
  <si>
    <t>內容</t>
  </si>
  <si>
    <t>來源圖片</t>
  </si>
  <si>
    <t>01_交叉分析_性別</t>
  </si>
  <si>
    <t>海外市場調查交叉分析 - 性別</t>
  </si>
  <si>
    <t>海外市場調查_交叉分析_性別.png</t>
  </si>
  <si>
    <t>02_旅行頻度_同行者</t>
  </si>
  <si>
    <t>旅行頻度與同行者特性 - 同行者</t>
  </si>
  <si>
    <t>旅行頻度與同行者特性.png</t>
  </si>
  <si>
    <t>03_大阪認知_訪問経験</t>
  </si>
  <si>
    <t>旅行先認知・訪問経験 - 認知度／大阪</t>
  </si>
  <si>
    <t>大阪旅行目的地認知與訪問經驗.png</t>
  </si>
  <si>
    <t>04_旅遊意向</t>
  </si>
  <si>
    <t>旅行先選定基準・意向 - 旅行を通して得たい気持ち・気分</t>
  </si>
  <si>
    <t>旅行目的地選定基準與旅遊意向.png</t>
  </si>
  <si>
    <t>05_目的地重視点</t>
  </si>
  <si>
    <t>海外旅行の目的地を選ぶ際の重視点</t>
  </si>
  <si>
    <t>海外旅行目的地選擇重視點.png</t>
  </si>
  <si>
    <t>06_大阪目的地形象</t>
  </si>
  <si>
    <t>以下の記述に該当する目的地 - 大阪</t>
  </si>
  <si>
    <t>大阪目的地形象特徵.png</t>
  </si>
  <si>
    <t>07_活動選定因素</t>
  </si>
  <si>
    <t>海外アクティビティ選定時の重視因素</t>
  </si>
  <si>
    <t>海外活動選定時重視因素.png</t>
  </si>
  <si>
    <t>08_大阪活動意向</t>
  </si>
  <si>
    <t>大阪で行いたいアクティビティ</t>
  </si>
  <si>
    <t>大阪旅遊活動參與意向.png</t>
  </si>
  <si>
    <t>09_交通手段決定時期</t>
  </si>
  <si>
    <t>海外旅行先での交通手段（公共交通機関・レンタカーなど）の決定時期</t>
  </si>
  <si>
    <t>海外旅行交通手段決定時期.png</t>
  </si>
  <si>
    <t>10_資訊收集來源</t>
  </si>
  <si>
    <t>大阪旅遊活動資訊收集來源</t>
  </si>
  <si>
    <t>大阪旅遊活動資訊收集來源.png</t>
  </si>
  <si>
    <t>數值類型</t>
  </si>
  <si>
    <t>百分比</t>
  </si>
  <si>
    <t>驗證</t>
  </si>
  <si>
    <t>底部含計算總計與差異；差異應為0.0%。</t>
  </si>
  <si>
    <t>項目</t>
  </si>
  <si>
    <t>韓國</t>
  </si>
  <si>
    <t>中國</t>
  </si>
  <si>
    <t>香港</t>
  </si>
  <si>
    <t>台灣</t>
  </si>
  <si>
    <t>泰國</t>
  </si>
  <si>
    <t>越南</t>
  </si>
  <si>
    <t>菲律賓</t>
  </si>
  <si>
    <t>新加坡</t>
  </si>
  <si>
    <t>馬來西亞</t>
  </si>
  <si>
    <t>印尼</t>
  </si>
  <si>
    <t>美國</t>
  </si>
  <si>
    <t>加拿大</t>
  </si>
  <si>
    <t>女性</t>
  </si>
  <si>
    <t>男性</t>
  </si>
  <si>
    <t>圖上總計/平均</t>
  </si>
  <si>
    <t>計算總計</t>
  </si>
  <si>
    <t>差異</t>
  </si>
  <si>
    <t>夫婦・パートナー（恋人）</t>
  </si>
  <si>
    <t>家族・親族（17歳以下の子どもあり）</t>
  </si>
  <si>
    <t>家族・親族（17歳以下の子どもなし）</t>
  </si>
  <si>
    <t>自分ひとり</t>
  </si>
  <si>
    <t>友人</t>
  </si>
  <si>
    <t>学校・大学などの生徒</t>
  </si>
  <si>
    <t>職場の同僚</t>
  </si>
  <si>
    <t>その他</t>
  </si>
  <si>
    <t>非常に詳しい</t>
  </si>
  <si>
    <t>かなり詳しい</t>
  </si>
  <si>
    <t>多少知っている</t>
  </si>
  <si>
    <t>名前は知っているが詳しくはない</t>
  </si>
  <si>
    <t>備註</t>
  </si>
  <si>
    <t>此表為多選/多項百分比，欄位不應加總為100%。</t>
  </si>
  <si>
    <t>リラックス・リフレッシュ</t>
  </si>
  <si>
    <t>楽しみ・喜び</t>
  </si>
  <si>
    <t>満足感・充実感</t>
  </si>
  <si>
    <t>自由・解放</t>
  </si>
  <si>
    <t>発見・冒険</t>
  </si>
  <si>
    <t>好奇心</t>
  </si>
  <si>
    <t>平和</t>
  </si>
  <si>
    <t>元気・生命力</t>
  </si>
  <si>
    <t>驚き・魅了される</t>
  </si>
  <si>
    <t>幸福感</t>
  </si>
  <si>
    <t>ロマンス・ロマンチック</t>
  </si>
  <si>
    <t>贅沢・ラグジュアリー</t>
  </si>
  <si>
    <t>現実逃避</t>
  </si>
  <si>
    <t>評分</t>
  </si>
  <si>
    <t>保留截圖中的総計列；此列不是上方項目的簡單平均。</t>
  </si>
  <si>
    <t>美術館・博物館が楽しめる場所</t>
  </si>
  <si>
    <t>伝統工芸品や地元産品を扱う市場や職人街がある場所</t>
  </si>
  <si>
    <t>芸術や現代文化が栄えている場所</t>
  </si>
  <si>
    <t>大規模ショッピングモールやデパートが集積している場所</t>
  </si>
  <si>
    <t>高級レストランやグルメ体験が充実している場所</t>
  </si>
  <si>
    <t>テーマパークや遊園地で、有名キャラクターやコンテンツとコラボしたアトラクションがある場所</t>
  </si>
  <si>
    <t>ナイトクルージングなど夜間観光アクティビティがある場所</t>
  </si>
  <si>
    <t>ハイキングやトレッキングが楽しめる場所</t>
  </si>
  <si>
    <t>キャンプや釣りなど、アウトドアレジャーを気軽に楽しめる場所</t>
  </si>
  <si>
    <t>キャラクターカフェやポップアップイベントが充実している場所</t>
  </si>
  <si>
    <t>地元のパフォーマーやストリートパフォーマンスを楽しめる場所</t>
  </si>
  <si>
    <t>ヴィンテージ・古着・アンティークを掘り出す楽しみがある場所</t>
  </si>
  <si>
    <t>ハラール、ビーガン、ベジタリアンなど様々な食事関連のニーズが対応できる場所</t>
  </si>
  <si>
    <t>高級ブランドやラグジュアリーなショッピングが充実している場所</t>
  </si>
  <si>
    <t>大きなイベントが開催されている場所（オリンピック、ワールドカップ）</t>
  </si>
  <si>
    <t>コスプレイベントなどポップカルチャー関連のイベントやコンベンションが盛んな場所</t>
  </si>
  <si>
    <t>モダンなナイトクラブやライブ音楽が満喫できる場所</t>
  </si>
  <si>
    <t>アニメ・マンガ・ゲーム文化が盛んな場所</t>
  </si>
  <si>
    <t>圖上總計</t>
  </si>
  <si>
    <t>地元のパブやユニークなバーが楽しめる場所</t>
  </si>
  <si>
    <t>夜景やライトアップを堪能できる場所</t>
  </si>
  <si>
    <t>セールやディスカウントショップが豊富で、予算に優しい買い物ができる場所</t>
  </si>
  <si>
    <t>スポーツ観戦が魅力的な場所</t>
  </si>
  <si>
    <t>底部含計算平均與差異；差異應為0.00。</t>
  </si>
  <si>
    <t>価格・費用面</t>
  </si>
  <si>
    <t>魅力・興味度合い</t>
  </si>
  <si>
    <t>信頼度・評判</t>
  </si>
  <si>
    <t>アクセスや立地</t>
  </si>
  <si>
    <t>旅程全体との整合性</t>
  </si>
  <si>
    <t>予約・申込みのしやすさ</t>
  </si>
  <si>
    <t>地元の独自性・本格度</t>
  </si>
  <si>
    <t>言語対応</t>
  </si>
  <si>
    <t>カスタマイズの柔軟さ</t>
  </si>
  <si>
    <t>ガイドの有無</t>
  </si>
  <si>
    <t>計算平均</t>
  </si>
  <si>
    <t>イルミネーションやライトアップ、夜景を鑑賞する</t>
  </si>
  <si>
    <t>ヴィンテージショップや古着店を探訪する</t>
  </si>
  <si>
    <t>ガイド付きツアーに参加する</t>
  </si>
  <si>
    <t>カヤックやラフティングなど、水辺でのアクティビティを楽しむ</t>
  </si>
  <si>
    <t>コミコンなどのポップカルチャー系イベントや展示会に参加する</t>
  </si>
  <si>
    <t>コンサートやライブミュージックのイベントに参加する</t>
  </si>
  <si>
    <t>スポーツ観戦に参加する</t>
  </si>
  <si>
    <t>テーマカフェやポップアップショップを訪れる</t>
  </si>
  <si>
    <t>パブ、バー、ナイトクラブを訪れる</t>
  </si>
  <si>
    <t>バンジージャンプなどのエクストリームスポーツに挑戦する</t>
  </si>
  <si>
    <t>ワイナリーや酒蔵、食品工場を見学する</t>
  </si>
  <si>
    <t>映画・ドラマ・アニメのロケ地や舞台となった場所を巡る</t>
  </si>
  <si>
    <t>屋台やB級グルメ（ストリートフード）を食べ歩く</t>
  </si>
  <si>
    <t>劇場、オペラ、バレエ、ミュージカルを見る</t>
  </si>
  <si>
    <t>高級レストランで贅沢な食事を楽しむ</t>
  </si>
  <si>
    <t>自然の中をハイキングやトレッキングする</t>
  </si>
  <si>
    <t>深夜まで営業するレストランや屋台で食事を楽しむ</t>
  </si>
  <si>
    <t>人気キャラクターなどIPグッズが購入できるお店を巡る</t>
  </si>
  <si>
    <t>地元のお祭りやイベントに参加する</t>
  </si>
  <si>
    <t>地元の食べ物や飲み物を堪能する</t>
  </si>
  <si>
    <t>釣りなど、アウトドアを満喫する</t>
  </si>
  <si>
    <t>海外旅行先に到着後、当日に決めた（その日の予定として）</t>
  </si>
  <si>
    <t>海外旅行先に到着後、利用・参加・訪問する前日までに決めた</t>
  </si>
  <si>
    <t>出発前1週間以内</t>
  </si>
  <si>
    <t>出発の1週間〜1カ月前</t>
  </si>
  <si>
    <t>出発の1カ月〜2カ月前</t>
  </si>
  <si>
    <t>出発の2カ月〜3カ月前</t>
  </si>
  <si>
    <t>出発の3カ月以上前</t>
  </si>
  <si>
    <t>動画サイト（YouTube／土豆網等）</t>
  </si>
  <si>
    <t>SNS（Facebook／X／微信等）</t>
  </si>
  <si>
    <t>口コミサイト（トリップアドバイザー等）</t>
  </si>
  <si>
    <t>地図アプリ</t>
  </si>
  <si>
    <t>宿泊予約サイト／アプリ</t>
  </si>
  <si>
    <t>旅行会社ホームページ／アプリ</t>
  </si>
  <si>
    <t>親族・知人</t>
  </si>
  <si>
    <t>アクティビティの予約サイト／アプリ</t>
  </si>
  <si>
    <t>旅行ガイドブック</t>
  </si>
  <si>
    <t>旅行先の案内所やホテルのコンシェルジュ</t>
  </si>
  <si>
    <t>AI（ChatGPT、Chat Botなど）</t>
  </si>
  <si>
    <t>旅行系のインフルエンサー（KOL）</t>
  </si>
  <si>
    <t>地元観光協会ホームページ／アプリ</t>
  </si>
  <si>
    <t>旅行専門誌</t>
  </si>
  <si>
    <t>その他インターネット／アプリ</t>
  </si>
  <si>
    <t>個人のブログ</t>
  </si>
  <si>
    <t>旅行の展示会や見本市</t>
  </si>
  <si>
    <t>その他専門誌／雑誌</t>
  </si>
  <si>
    <t>この中にはない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</si>
</sst>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新細明體"/>
      <family val="2"/>
      <scheme val="minor"/>
    </font>
    <font>
      <b/>
      <sz val="16"/>
      <color rgb="FF1F2937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rgb="FF0563C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/>
    <xf numFmtId="2" fontId="0" fillId="0" borderId="1" xfId="0" applyNumberFormat="1" applyBorder="1" applyAlignment="1">
      <alignment horizontal="right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horizontal="right"/>
    </xf>
    <xf numFmtId="0" fontId="2" fillId="4" borderId="1" xfId="0" applyFont="1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/>
  </sheetViews>
  <sheetFormatPr defaultRowHeight="15" x14ac:dyDescent="0.3"/>
  <cols>
    <col min="1" max="1" width="6.75" customWidth="1"/>
    <col min="2" max="2" width="30.75" customWidth="1"/>
    <col min="3" max="3" width="48.75" customWidth="1"/>
    <col min="4" max="4" width="22.75" customWidth="1"/>
  </cols>
  <sheetData>
    <row r="1" spans="1:4" ht="22.2" x14ac:dyDescent="0.4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30" x14ac:dyDescent="0.3">
      <c r="A4" s="3">
        <v>1</v>
      </c>
      <c r="B4" s="4" t="s">
        <v>5</v>
      </c>
      <c r="C4" s="3" t="s">
        <v>6</v>
      </c>
      <c r="D4" s="3" t="s">
        <v>7</v>
      </c>
    </row>
    <row r="5" spans="1:4" ht="30" x14ac:dyDescent="0.3">
      <c r="A5" s="3">
        <v>2</v>
      </c>
      <c r="B5" s="4" t="s">
        <v>8</v>
      </c>
      <c r="C5" s="3" t="s">
        <v>9</v>
      </c>
      <c r="D5" s="3" t="s">
        <v>10</v>
      </c>
    </row>
    <row r="6" spans="1:4" ht="30" x14ac:dyDescent="0.3">
      <c r="A6" s="3">
        <v>3</v>
      </c>
      <c r="B6" s="4" t="s">
        <v>11</v>
      </c>
      <c r="C6" s="3" t="s">
        <v>12</v>
      </c>
      <c r="D6" s="3" t="s">
        <v>13</v>
      </c>
    </row>
    <row r="7" spans="1:4" ht="30" x14ac:dyDescent="0.3">
      <c r="A7" s="3">
        <v>4</v>
      </c>
      <c r="B7" s="4" t="s">
        <v>14</v>
      </c>
      <c r="C7" s="3" t="s">
        <v>15</v>
      </c>
      <c r="D7" s="3" t="s">
        <v>16</v>
      </c>
    </row>
    <row r="8" spans="1:4" ht="30" x14ac:dyDescent="0.3">
      <c r="A8" s="3">
        <v>5</v>
      </c>
      <c r="B8" s="4" t="s">
        <v>17</v>
      </c>
      <c r="C8" s="3" t="s">
        <v>18</v>
      </c>
      <c r="D8" s="3" t="s">
        <v>19</v>
      </c>
    </row>
    <row r="9" spans="1:4" ht="30" x14ac:dyDescent="0.3">
      <c r="A9" s="3">
        <v>6</v>
      </c>
      <c r="B9" s="4" t="s">
        <v>20</v>
      </c>
      <c r="C9" s="3" t="s">
        <v>21</v>
      </c>
      <c r="D9" s="3" t="s">
        <v>22</v>
      </c>
    </row>
    <row r="10" spans="1:4" ht="30" x14ac:dyDescent="0.3">
      <c r="A10" s="3">
        <v>7</v>
      </c>
      <c r="B10" s="4" t="s">
        <v>23</v>
      </c>
      <c r="C10" s="3" t="s">
        <v>24</v>
      </c>
      <c r="D10" s="3" t="s">
        <v>25</v>
      </c>
    </row>
    <row r="11" spans="1:4" ht="30" x14ac:dyDescent="0.3">
      <c r="A11" s="3">
        <v>8</v>
      </c>
      <c r="B11" s="4" t="s">
        <v>26</v>
      </c>
      <c r="C11" s="3" t="s">
        <v>27</v>
      </c>
      <c r="D11" s="3" t="s">
        <v>28</v>
      </c>
    </row>
    <row r="12" spans="1:4" ht="30" x14ac:dyDescent="0.3">
      <c r="A12" s="3">
        <v>9</v>
      </c>
      <c r="B12" s="4" t="s">
        <v>29</v>
      </c>
      <c r="C12" s="3" t="s">
        <v>30</v>
      </c>
      <c r="D12" s="3" t="s">
        <v>31</v>
      </c>
    </row>
    <row r="13" spans="1:4" ht="30" x14ac:dyDescent="0.3">
      <c r="A13" s="3">
        <v>10</v>
      </c>
      <c r="B13" s="4" t="s">
        <v>32</v>
      </c>
      <c r="C13" s="3" t="s">
        <v>33</v>
      </c>
      <c r="D13" s="3" t="s">
        <v>34</v>
      </c>
    </row>
  </sheetData>
  <phoneticPr fontId="4" type="noConversion"/>
  <hyperlinks>
    <hyperlink ref="B4" location="'01_交叉分析_性別'!A1" display="01_交叉分析_性別" xr:uid="{00000000-0004-0000-0000-000000000000}"/>
    <hyperlink ref="B5" location="'02_旅行頻度_同行者'!A1" display="02_旅行頻度_同行者" xr:uid="{00000000-0004-0000-0000-000001000000}"/>
    <hyperlink ref="B6" location="'03_大阪認知_訪問経験'!A1" display="03_大阪認知_訪問経験" xr:uid="{00000000-0004-0000-0000-000002000000}"/>
    <hyperlink ref="B7" location="'04_旅遊意向'!A1" display="04_旅遊意向" xr:uid="{00000000-0004-0000-0000-000003000000}"/>
    <hyperlink ref="B8" location="'05_目的地重視点'!A1" display="05_目的地重視点" xr:uid="{00000000-0004-0000-0000-000004000000}"/>
    <hyperlink ref="B9" location="'06_大阪目的地形象'!A1" display="06_大阪目的地形象" xr:uid="{00000000-0004-0000-0000-000005000000}"/>
    <hyperlink ref="B10" location="'07_活動選定因素'!A1" display="07_活動選定因素" xr:uid="{00000000-0004-0000-0000-000006000000}"/>
    <hyperlink ref="B11" location="'08_大阪活動意向'!A1" display="08_大阪活動意向" xr:uid="{00000000-0004-0000-0000-000007000000}"/>
    <hyperlink ref="B12" location="'09_交通手段決定時期'!A1" display="09_交通手段決定時期" xr:uid="{00000000-0004-0000-0000-000008000000}"/>
    <hyperlink ref="B13" location="'10_資訊收集來源'!A1" display="10_資訊收集來源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6</v>
      </c>
    </row>
    <row r="2" spans="1:13" ht="45" x14ac:dyDescent="0.3">
      <c r="A2" s="6" t="s">
        <v>4</v>
      </c>
      <c r="B2" s="3" t="s">
        <v>7</v>
      </c>
    </row>
    <row r="3" spans="1:13" x14ac:dyDescent="0.3">
      <c r="A3" s="6" t="s">
        <v>35</v>
      </c>
      <c r="B3" s="3" t="s">
        <v>36</v>
      </c>
    </row>
    <row r="4" spans="1:13" ht="60" x14ac:dyDescent="0.3">
      <c r="A4" s="6" t="s">
        <v>37</v>
      </c>
      <c r="B4" s="3" t="s">
        <v>38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52</v>
      </c>
      <c r="B6" s="8">
        <v>0.5</v>
      </c>
      <c r="C6" s="8">
        <v>0.5</v>
      </c>
      <c r="D6" s="8">
        <v>0.5</v>
      </c>
      <c r="E6" s="8">
        <v>0.5</v>
      </c>
      <c r="F6" s="8">
        <v>0.5</v>
      </c>
      <c r="G6" s="8">
        <v>0.5</v>
      </c>
      <c r="H6" s="8">
        <v>0.5</v>
      </c>
      <c r="I6" s="8">
        <v>0.5</v>
      </c>
      <c r="J6" s="8">
        <v>0.5</v>
      </c>
      <c r="K6" s="8">
        <v>0.5</v>
      </c>
      <c r="L6" s="8">
        <v>0.5</v>
      </c>
      <c r="M6" s="8">
        <v>0.5</v>
      </c>
    </row>
    <row r="7" spans="1:13" x14ac:dyDescent="0.3">
      <c r="A7" s="7" t="s">
        <v>53</v>
      </c>
      <c r="B7" s="8">
        <v>0.5</v>
      </c>
      <c r="C7" s="8">
        <v>0.5</v>
      </c>
      <c r="D7" s="8">
        <v>0.5</v>
      </c>
      <c r="E7" s="8">
        <v>0.5</v>
      </c>
      <c r="F7" s="8">
        <v>0.5</v>
      </c>
      <c r="G7" s="8">
        <v>0.5</v>
      </c>
      <c r="H7" s="8">
        <v>0.5</v>
      </c>
      <c r="I7" s="8">
        <v>0.5</v>
      </c>
      <c r="J7" s="8">
        <v>0.5</v>
      </c>
      <c r="K7" s="8">
        <v>0.5</v>
      </c>
      <c r="L7" s="8">
        <v>0.5</v>
      </c>
      <c r="M7" s="8">
        <v>0.5</v>
      </c>
    </row>
    <row r="8" spans="1:13" x14ac:dyDescent="0.3">
      <c r="A8" s="9" t="s">
        <v>54</v>
      </c>
      <c r="B8" s="8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</row>
    <row r="9" spans="1:13" x14ac:dyDescent="0.3">
      <c r="A9" s="9" t="s">
        <v>55</v>
      </c>
      <c r="B9" s="8">
        <f t="shared" ref="B9:M9" si="0">SUM(B6:B7)</f>
        <v>1</v>
      </c>
      <c r="C9" s="8">
        <f t="shared" si="0"/>
        <v>1</v>
      </c>
      <c r="D9" s="8">
        <f t="shared" si="0"/>
        <v>1</v>
      </c>
      <c r="E9" s="8">
        <f t="shared" si="0"/>
        <v>1</v>
      </c>
      <c r="F9" s="8">
        <f t="shared" si="0"/>
        <v>1</v>
      </c>
      <c r="G9" s="8">
        <f t="shared" si="0"/>
        <v>1</v>
      </c>
      <c r="H9" s="8">
        <f t="shared" si="0"/>
        <v>1</v>
      </c>
      <c r="I9" s="8">
        <f t="shared" si="0"/>
        <v>1</v>
      </c>
      <c r="J9" s="8">
        <f t="shared" si="0"/>
        <v>1</v>
      </c>
      <c r="K9" s="8">
        <f t="shared" si="0"/>
        <v>1</v>
      </c>
      <c r="L9" s="8">
        <f t="shared" si="0"/>
        <v>1</v>
      </c>
      <c r="M9" s="8">
        <f t="shared" si="0"/>
        <v>1</v>
      </c>
    </row>
    <row r="10" spans="1:13" x14ac:dyDescent="0.3">
      <c r="A10" s="9" t="s">
        <v>56</v>
      </c>
      <c r="B10" s="8">
        <f t="shared" ref="B10:M10" si="1">B9-B8</f>
        <v>0</v>
      </c>
      <c r="C10" s="8">
        <f t="shared" si="1"/>
        <v>0</v>
      </c>
      <c r="D10" s="8">
        <f t="shared" si="1"/>
        <v>0</v>
      </c>
      <c r="E10" s="8">
        <f t="shared" si="1"/>
        <v>0</v>
      </c>
      <c r="F10" s="8">
        <f t="shared" si="1"/>
        <v>0</v>
      </c>
      <c r="G10" s="8">
        <f t="shared" si="1"/>
        <v>0</v>
      </c>
      <c r="H10" s="8">
        <f t="shared" si="1"/>
        <v>0</v>
      </c>
      <c r="I10" s="8">
        <f t="shared" si="1"/>
        <v>0</v>
      </c>
      <c r="J10" s="8">
        <f t="shared" si="1"/>
        <v>0</v>
      </c>
      <c r="K10" s="8">
        <f t="shared" si="1"/>
        <v>0</v>
      </c>
      <c r="L10" s="8">
        <f t="shared" si="1"/>
        <v>0</v>
      </c>
      <c r="M10" s="8">
        <f t="shared" si="1"/>
        <v>0</v>
      </c>
    </row>
  </sheetData>
  <autoFilter ref="A5:M8" xr:uid="{00000000-0009-0000-0000-000002000000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9</v>
      </c>
    </row>
    <row r="2" spans="1:13" ht="45" x14ac:dyDescent="0.3">
      <c r="A2" s="6" t="s">
        <v>4</v>
      </c>
      <c r="B2" s="3" t="s">
        <v>10</v>
      </c>
    </row>
    <row r="3" spans="1:13" x14ac:dyDescent="0.3">
      <c r="A3" s="6" t="s">
        <v>35</v>
      </c>
      <c r="B3" s="3" t="s">
        <v>36</v>
      </c>
    </row>
    <row r="4" spans="1:13" ht="60" x14ac:dyDescent="0.3">
      <c r="A4" s="6" t="s">
        <v>37</v>
      </c>
      <c r="B4" s="3" t="s">
        <v>38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57</v>
      </c>
      <c r="B6" s="8">
        <v>0.36799999999999999</v>
      </c>
      <c r="C6" s="8">
        <v>0.59499999999999997</v>
      </c>
      <c r="D6" s="8">
        <v>0.36</v>
      </c>
      <c r="E6" s="8">
        <v>0.35799999999999998</v>
      </c>
      <c r="F6" s="8">
        <v>0.23499999999999999</v>
      </c>
      <c r="G6" s="8">
        <v>0.45800000000000002</v>
      </c>
      <c r="H6" s="8">
        <v>0.26</v>
      </c>
      <c r="I6" s="8">
        <v>0.29799999999999999</v>
      </c>
      <c r="J6" s="8">
        <v>0.31</v>
      </c>
      <c r="K6" s="8">
        <v>0.26800000000000002</v>
      </c>
      <c r="L6" s="8">
        <v>0.44800000000000001</v>
      </c>
      <c r="M6" s="8">
        <v>0.44800000000000001</v>
      </c>
    </row>
    <row r="7" spans="1:13" x14ac:dyDescent="0.3">
      <c r="A7" s="7" t="s">
        <v>58</v>
      </c>
      <c r="B7" s="8">
        <v>0.27500000000000002</v>
      </c>
      <c r="C7" s="8">
        <v>0.13500000000000001</v>
      </c>
      <c r="D7" s="8">
        <v>0.255</v>
      </c>
      <c r="E7" s="8">
        <v>0.25800000000000001</v>
      </c>
      <c r="F7" s="8">
        <v>0.318</v>
      </c>
      <c r="G7" s="8">
        <v>0.313</v>
      </c>
      <c r="H7" s="8">
        <v>0.33500000000000002</v>
      </c>
      <c r="I7" s="8">
        <v>0.33800000000000002</v>
      </c>
      <c r="J7" s="8">
        <v>0.35299999999999998</v>
      </c>
      <c r="K7" s="8">
        <v>0.49299999999999999</v>
      </c>
      <c r="L7" s="8">
        <v>0.26500000000000001</v>
      </c>
      <c r="M7" s="8">
        <v>0.19</v>
      </c>
    </row>
    <row r="8" spans="1:13" x14ac:dyDescent="0.3">
      <c r="A8" s="7" t="s">
        <v>59</v>
      </c>
      <c r="B8" s="8">
        <v>0.128</v>
      </c>
      <c r="C8" s="8">
        <v>0.10299999999999999</v>
      </c>
      <c r="D8" s="8">
        <v>0.105</v>
      </c>
      <c r="E8" s="8">
        <v>0.16500000000000001</v>
      </c>
      <c r="F8" s="8">
        <v>0.185</v>
      </c>
      <c r="G8" s="8">
        <v>6.3E-2</v>
      </c>
      <c r="H8" s="8">
        <v>0.17299999999999999</v>
      </c>
      <c r="I8" s="8">
        <v>0.125</v>
      </c>
      <c r="J8" s="8">
        <v>0.16800000000000001</v>
      </c>
      <c r="K8" s="8">
        <v>0.1</v>
      </c>
      <c r="L8" s="8">
        <v>8.3000000000000004E-2</v>
      </c>
      <c r="M8" s="8">
        <v>7.0000000000000007E-2</v>
      </c>
    </row>
    <row r="9" spans="1:13" x14ac:dyDescent="0.3">
      <c r="A9" s="7" t="s">
        <v>60</v>
      </c>
      <c r="B9" s="8">
        <v>0.10299999999999999</v>
      </c>
      <c r="C9" s="8">
        <v>7.4999999999999997E-2</v>
      </c>
      <c r="D9" s="8">
        <v>0.13800000000000001</v>
      </c>
      <c r="E9" s="8">
        <v>8.5000000000000006E-2</v>
      </c>
      <c r="F9" s="8">
        <v>0.13500000000000001</v>
      </c>
      <c r="G9" s="8">
        <v>6.3E-2</v>
      </c>
      <c r="H9" s="8">
        <v>0.108</v>
      </c>
      <c r="I9" s="8">
        <v>0.125</v>
      </c>
      <c r="J9" s="8">
        <v>6.5000000000000002E-2</v>
      </c>
      <c r="K9" s="8">
        <v>3.7999999999999999E-2</v>
      </c>
      <c r="L9" s="8">
        <v>0.14799999999999999</v>
      </c>
      <c r="M9" s="8">
        <v>0.215</v>
      </c>
    </row>
    <row r="10" spans="1:13" x14ac:dyDescent="0.3">
      <c r="A10" s="7" t="s">
        <v>61</v>
      </c>
      <c r="B10" s="8">
        <v>0.123</v>
      </c>
      <c r="C10" s="8">
        <v>7.2999999999999995E-2</v>
      </c>
      <c r="D10" s="8">
        <v>0.13800000000000001</v>
      </c>
      <c r="E10" s="8">
        <v>0.12</v>
      </c>
      <c r="F10" s="8">
        <v>0.1</v>
      </c>
      <c r="G10" s="8">
        <v>7.0000000000000007E-2</v>
      </c>
      <c r="H10" s="8">
        <v>0.09</v>
      </c>
      <c r="I10" s="8">
        <v>0.105</v>
      </c>
      <c r="J10" s="8">
        <v>8.5000000000000006E-2</v>
      </c>
      <c r="K10" s="8">
        <v>5.5E-2</v>
      </c>
      <c r="L10" s="8">
        <v>5.8000000000000003E-2</v>
      </c>
      <c r="M10" s="8">
        <v>7.0000000000000007E-2</v>
      </c>
    </row>
    <row r="11" spans="1:13" x14ac:dyDescent="0.3">
      <c r="A11" s="7" t="s">
        <v>62</v>
      </c>
      <c r="B11" s="8"/>
      <c r="C11" s="8">
        <v>0.02</v>
      </c>
      <c r="D11" s="8"/>
      <c r="E11" s="8">
        <v>5.0000000000000001E-3</v>
      </c>
      <c r="F11" s="8">
        <v>5.0000000000000001E-3</v>
      </c>
      <c r="G11" s="8"/>
      <c r="H11" s="8">
        <v>3.0000000000000001E-3</v>
      </c>
      <c r="I11" s="8"/>
      <c r="J11" s="8">
        <v>3.0000000000000001E-3</v>
      </c>
      <c r="K11" s="8"/>
      <c r="L11" s="8"/>
      <c r="M11" s="8">
        <v>3.0000000000000001E-3</v>
      </c>
    </row>
    <row r="12" spans="1:13" x14ac:dyDescent="0.3">
      <c r="A12" s="7" t="s">
        <v>63</v>
      </c>
      <c r="B12" s="8">
        <v>3.0000000000000001E-3</v>
      </c>
      <c r="C12" s="8"/>
      <c r="D12" s="8">
        <v>5.0000000000000001E-3</v>
      </c>
      <c r="E12" s="8">
        <v>0.01</v>
      </c>
      <c r="F12" s="8">
        <v>0.02</v>
      </c>
      <c r="G12" s="8">
        <v>3.5000000000000003E-2</v>
      </c>
      <c r="H12" s="8">
        <v>0.03</v>
      </c>
      <c r="I12" s="8">
        <v>3.0000000000000001E-3</v>
      </c>
      <c r="J12" s="8">
        <v>1.2999999999999999E-2</v>
      </c>
      <c r="K12" s="8">
        <v>0.04</v>
      </c>
      <c r="L12" s="8"/>
      <c r="M12" s="8">
        <v>3.0000000000000001E-3</v>
      </c>
    </row>
    <row r="13" spans="1:13" x14ac:dyDescent="0.3">
      <c r="A13" s="7" t="s">
        <v>64</v>
      </c>
      <c r="B13" s="8">
        <v>3.0000000000000001E-3</v>
      </c>
      <c r="C13" s="8"/>
      <c r="D13" s="8"/>
      <c r="E13" s="8"/>
      <c r="F13" s="8">
        <v>3.0000000000000001E-3</v>
      </c>
      <c r="G13" s="8"/>
      <c r="H13" s="8">
        <v>3.0000000000000001E-3</v>
      </c>
      <c r="I13" s="8">
        <v>8.0000000000000002E-3</v>
      </c>
      <c r="J13" s="8">
        <v>5.0000000000000001E-3</v>
      </c>
      <c r="K13" s="8">
        <v>8.0000000000000002E-3</v>
      </c>
      <c r="L13" s="8"/>
      <c r="M13" s="8">
        <v>3.0000000000000001E-3</v>
      </c>
    </row>
    <row r="14" spans="1:13" x14ac:dyDescent="0.3">
      <c r="A14" s="9" t="s">
        <v>54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</row>
    <row r="15" spans="1:13" x14ac:dyDescent="0.3">
      <c r="A15" s="9" t="s">
        <v>55</v>
      </c>
      <c r="B15" s="8">
        <f t="shared" ref="B15:M15" si="0">SUM(B6:B13)</f>
        <v>1.0029999999999999</v>
      </c>
      <c r="C15" s="8">
        <f t="shared" si="0"/>
        <v>1.0009999999999999</v>
      </c>
      <c r="D15" s="8">
        <f t="shared" si="0"/>
        <v>1.0009999999999999</v>
      </c>
      <c r="E15" s="8">
        <f t="shared" si="0"/>
        <v>1.0009999999999999</v>
      </c>
      <c r="F15" s="8">
        <f t="shared" si="0"/>
        <v>1.0009999999999999</v>
      </c>
      <c r="G15" s="8">
        <f t="shared" si="0"/>
        <v>1.002</v>
      </c>
      <c r="H15" s="8">
        <f t="shared" si="0"/>
        <v>1.002</v>
      </c>
      <c r="I15" s="8">
        <f t="shared" si="0"/>
        <v>1.002</v>
      </c>
      <c r="J15" s="8">
        <f t="shared" si="0"/>
        <v>1.002</v>
      </c>
      <c r="K15" s="8">
        <f t="shared" si="0"/>
        <v>1.002</v>
      </c>
      <c r="L15" s="8">
        <f t="shared" si="0"/>
        <v>1.002</v>
      </c>
      <c r="M15" s="8">
        <f t="shared" si="0"/>
        <v>1.0019999999999998</v>
      </c>
    </row>
    <row r="16" spans="1:13" x14ac:dyDescent="0.3">
      <c r="A16" s="9" t="s">
        <v>56</v>
      </c>
      <c r="B16" s="8">
        <f t="shared" ref="B16:M16" si="1">B15-B14</f>
        <v>2.9999999999998916E-3</v>
      </c>
      <c r="C16" s="8">
        <f t="shared" si="1"/>
        <v>9.9999999999988987E-4</v>
      </c>
      <c r="D16" s="8">
        <f t="shared" si="1"/>
        <v>9.9999999999988987E-4</v>
      </c>
      <c r="E16" s="8">
        <f t="shared" si="1"/>
        <v>9.9999999999988987E-4</v>
      </c>
      <c r="F16" s="8">
        <f t="shared" si="1"/>
        <v>9.9999999999988987E-4</v>
      </c>
      <c r="G16" s="8">
        <f t="shared" si="1"/>
        <v>2.0000000000000018E-3</v>
      </c>
      <c r="H16" s="8">
        <f t="shared" si="1"/>
        <v>2.0000000000000018E-3</v>
      </c>
      <c r="I16" s="8">
        <f t="shared" si="1"/>
        <v>2.0000000000000018E-3</v>
      </c>
      <c r="J16" s="8">
        <f t="shared" si="1"/>
        <v>2.0000000000000018E-3</v>
      </c>
      <c r="K16" s="8">
        <f t="shared" si="1"/>
        <v>2.0000000000000018E-3</v>
      </c>
      <c r="L16" s="8">
        <f t="shared" si="1"/>
        <v>2.0000000000000018E-3</v>
      </c>
      <c r="M16" s="8">
        <f t="shared" si="1"/>
        <v>1.9999999999997797E-3</v>
      </c>
    </row>
  </sheetData>
  <autoFilter ref="A5:M14" xr:uid="{00000000-0009-0000-0000-000003000000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12</v>
      </c>
    </row>
    <row r="2" spans="1:13" ht="60" x14ac:dyDescent="0.3">
      <c r="A2" s="6" t="s">
        <v>4</v>
      </c>
      <c r="B2" s="3" t="s">
        <v>13</v>
      </c>
    </row>
    <row r="3" spans="1:13" x14ac:dyDescent="0.3">
      <c r="A3" s="6" t="s">
        <v>35</v>
      </c>
      <c r="B3" s="3" t="s">
        <v>36</v>
      </c>
    </row>
    <row r="4" spans="1:13" ht="60" x14ac:dyDescent="0.3">
      <c r="A4" s="6" t="s">
        <v>37</v>
      </c>
      <c r="B4" s="3" t="s">
        <v>38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65</v>
      </c>
      <c r="B6" s="8">
        <v>0.35499999999999998</v>
      </c>
      <c r="C6" s="8">
        <v>0.193</v>
      </c>
      <c r="D6" s="8">
        <v>0.31</v>
      </c>
      <c r="E6" s="8">
        <v>0.28999999999999998</v>
      </c>
      <c r="F6" s="8">
        <v>0.42499999999999999</v>
      </c>
      <c r="G6" s="8">
        <v>0.28799999999999998</v>
      </c>
      <c r="H6" s="8">
        <v>0.36299999999999999</v>
      </c>
      <c r="I6" s="8">
        <v>0.17299999999999999</v>
      </c>
      <c r="J6" s="8">
        <v>0.17</v>
      </c>
      <c r="K6" s="8">
        <v>0.38500000000000001</v>
      </c>
      <c r="L6" s="8">
        <v>0.15</v>
      </c>
      <c r="M6" s="8">
        <v>0.13500000000000001</v>
      </c>
    </row>
    <row r="7" spans="1:13" x14ac:dyDescent="0.3">
      <c r="A7" s="7" t="s">
        <v>66</v>
      </c>
      <c r="B7" s="8">
        <v>0.32500000000000001</v>
      </c>
      <c r="C7" s="8">
        <v>0.40300000000000002</v>
      </c>
      <c r="D7" s="8">
        <v>0.433</v>
      </c>
      <c r="E7" s="8">
        <v>0.35299999999999998</v>
      </c>
      <c r="F7" s="8">
        <v>0.34799999999999998</v>
      </c>
      <c r="G7" s="8">
        <v>0.313</v>
      </c>
      <c r="H7" s="8">
        <v>0.34499999999999997</v>
      </c>
      <c r="I7" s="8">
        <v>0.35299999999999998</v>
      </c>
      <c r="J7" s="8">
        <v>0.23</v>
      </c>
      <c r="K7" s="8">
        <v>0.32800000000000001</v>
      </c>
      <c r="L7" s="8">
        <v>0.193</v>
      </c>
      <c r="M7" s="8">
        <v>0.183</v>
      </c>
    </row>
    <row r="8" spans="1:13" x14ac:dyDescent="0.3">
      <c r="A8" s="7" t="s">
        <v>67</v>
      </c>
      <c r="B8" s="8">
        <v>0.19800000000000001</v>
      </c>
      <c r="C8" s="8">
        <v>0.27800000000000002</v>
      </c>
      <c r="D8" s="8">
        <v>0.18</v>
      </c>
      <c r="E8" s="8">
        <v>0.253</v>
      </c>
      <c r="F8" s="8">
        <v>0.14799999999999999</v>
      </c>
      <c r="G8" s="8">
        <v>0.23799999999999999</v>
      </c>
      <c r="H8" s="8">
        <v>0.188</v>
      </c>
      <c r="I8" s="8">
        <v>0.27</v>
      </c>
      <c r="J8" s="8">
        <v>0.32</v>
      </c>
      <c r="K8" s="8">
        <v>0.18</v>
      </c>
      <c r="L8" s="8">
        <v>0.25800000000000001</v>
      </c>
      <c r="M8" s="8">
        <v>0.28499999999999998</v>
      </c>
    </row>
    <row r="9" spans="1:13" x14ac:dyDescent="0.3">
      <c r="A9" s="7" t="s">
        <v>68</v>
      </c>
      <c r="B9" s="8">
        <v>0.123</v>
      </c>
      <c r="C9" s="8">
        <v>0.128</v>
      </c>
      <c r="D9" s="8">
        <v>7.8E-2</v>
      </c>
      <c r="E9" s="8">
        <v>0.105</v>
      </c>
      <c r="F9" s="8">
        <v>0.08</v>
      </c>
      <c r="G9" s="8">
        <v>0.16300000000000001</v>
      </c>
      <c r="H9" s="8">
        <v>0.105</v>
      </c>
      <c r="I9" s="8">
        <v>0.20499999999999999</v>
      </c>
      <c r="J9" s="8">
        <v>0.28000000000000003</v>
      </c>
      <c r="K9" s="8">
        <v>0.108</v>
      </c>
      <c r="L9" s="8">
        <v>0.4</v>
      </c>
      <c r="M9" s="8">
        <v>0.39800000000000002</v>
      </c>
    </row>
    <row r="10" spans="1:13" x14ac:dyDescent="0.3">
      <c r="A10" s="9" t="s">
        <v>54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</row>
    <row r="11" spans="1:13" x14ac:dyDescent="0.3">
      <c r="A11" s="9" t="s">
        <v>55</v>
      </c>
      <c r="B11" s="8">
        <f t="shared" ref="B11:M11" si="0">SUM(B6:B9)</f>
        <v>1.0009999999999999</v>
      </c>
      <c r="C11" s="8">
        <f t="shared" si="0"/>
        <v>1.0020000000000002</v>
      </c>
      <c r="D11" s="8">
        <f t="shared" si="0"/>
        <v>1.0010000000000001</v>
      </c>
      <c r="E11" s="8">
        <f t="shared" si="0"/>
        <v>1.0010000000000001</v>
      </c>
      <c r="F11" s="8">
        <f t="shared" si="0"/>
        <v>1.0009999999999999</v>
      </c>
      <c r="G11" s="8">
        <f t="shared" si="0"/>
        <v>1.002</v>
      </c>
      <c r="H11" s="8">
        <f t="shared" si="0"/>
        <v>1.0009999999999999</v>
      </c>
      <c r="I11" s="8">
        <f t="shared" si="0"/>
        <v>1.0010000000000001</v>
      </c>
      <c r="J11" s="8">
        <f t="shared" si="0"/>
        <v>1</v>
      </c>
      <c r="K11" s="8">
        <f t="shared" si="0"/>
        <v>1.0010000000000001</v>
      </c>
      <c r="L11" s="8">
        <f t="shared" si="0"/>
        <v>1.0009999999999999</v>
      </c>
      <c r="M11" s="8">
        <f t="shared" si="0"/>
        <v>1.0009999999999999</v>
      </c>
    </row>
    <row r="12" spans="1:13" x14ac:dyDescent="0.3">
      <c r="A12" s="9" t="s">
        <v>56</v>
      </c>
      <c r="B12" s="8">
        <f t="shared" ref="B12:M12" si="1">B11-B10</f>
        <v>9.9999999999988987E-4</v>
      </c>
      <c r="C12" s="8">
        <f t="shared" si="1"/>
        <v>2.0000000000002238E-3</v>
      </c>
      <c r="D12" s="8">
        <f t="shared" si="1"/>
        <v>1.0000000000001119E-3</v>
      </c>
      <c r="E12" s="8">
        <f t="shared" si="1"/>
        <v>1.0000000000001119E-3</v>
      </c>
      <c r="F12" s="8">
        <f t="shared" si="1"/>
        <v>9.9999999999988987E-4</v>
      </c>
      <c r="G12" s="8">
        <f t="shared" si="1"/>
        <v>2.0000000000000018E-3</v>
      </c>
      <c r="H12" s="8">
        <f t="shared" si="1"/>
        <v>9.9999999999988987E-4</v>
      </c>
      <c r="I12" s="8">
        <f t="shared" si="1"/>
        <v>1.0000000000001119E-3</v>
      </c>
      <c r="J12" s="8">
        <f t="shared" si="1"/>
        <v>0</v>
      </c>
      <c r="K12" s="8">
        <f t="shared" si="1"/>
        <v>1.0000000000001119E-3</v>
      </c>
      <c r="L12" s="8">
        <f t="shared" si="1"/>
        <v>9.9999999999988987E-4</v>
      </c>
      <c r="M12" s="8">
        <f t="shared" si="1"/>
        <v>9.9999999999988987E-4</v>
      </c>
    </row>
  </sheetData>
  <autoFilter ref="A5:M10" xr:uid="{00000000-0009-0000-0000-000004000000}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15</v>
      </c>
    </row>
    <row r="2" spans="1:13" ht="60" x14ac:dyDescent="0.3">
      <c r="A2" s="6" t="s">
        <v>4</v>
      </c>
      <c r="B2" s="3" t="s">
        <v>16</v>
      </c>
    </row>
    <row r="3" spans="1:13" x14ac:dyDescent="0.3">
      <c r="A3" s="6" t="s">
        <v>35</v>
      </c>
      <c r="B3" s="3" t="s">
        <v>36</v>
      </c>
    </row>
    <row r="4" spans="1:13" ht="75" x14ac:dyDescent="0.3">
      <c r="A4" s="6" t="s">
        <v>69</v>
      </c>
      <c r="B4" s="3" t="s">
        <v>70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71</v>
      </c>
      <c r="B6" s="8">
        <v>0.40799999999999997</v>
      </c>
      <c r="C6" s="8">
        <v>0.48799999999999999</v>
      </c>
      <c r="D6" s="8">
        <v>0.54299999999999993</v>
      </c>
      <c r="E6" s="8">
        <v>0.69499999999999995</v>
      </c>
      <c r="F6" s="8">
        <v>0.64800000000000002</v>
      </c>
      <c r="G6" s="8">
        <v>0.76500000000000001</v>
      </c>
      <c r="H6" s="8">
        <v>0.78</v>
      </c>
      <c r="I6" s="8">
        <v>0.65799999999999992</v>
      </c>
      <c r="J6" s="8">
        <v>0.55799999999999994</v>
      </c>
      <c r="K6" s="8">
        <v>0.65799999999999992</v>
      </c>
      <c r="L6" s="8">
        <v>0.433</v>
      </c>
      <c r="M6" s="8">
        <v>0.53</v>
      </c>
    </row>
    <row r="7" spans="1:13" x14ac:dyDescent="0.3">
      <c r="A7" s="7" t="s">
        <v>72</v>
      </c>
      <c r="B7" s="8">
        <v>0.55000000000000004</v>
      </c>
      <c r="C7" s="8">
        <v>0.32500000000000001</v>
      </c>
      <c r="D7" s="8">
        <v>0.45</v>
      </c>
      <c r="E7" s="8">
        <v>0.58799999999999997</v>
      </c>
      <c r="F7" s="8">
        <v>0.58799999999999997</v>
      </c>
      <c r="G7" s="8">
        <v>0.503</v>
      </c>
      <c r="H7" s="8">
        <v>0.81299999999999994</v>
      </c>
      <c r="I7" s="8">
        <v>0.58799999999999997</v>
      </c>
      <c r="J7" s="8">
        <v>0.65300000000000002</v>
      </c>
      <c r="K7" s="8">
        <v>0.70299999999999996</v>
      </c>
      <c r="L7" s="8">
        <v>0.54500000000000004</v>
      </c>
      <c r="M7" s="8">
        <v>0.58299999999999996</v>
      </c>
    </row>
    <row r="8" spans="1:13" x14ac:dyDescent="0.3">
      <c r="A8" s="7" t="s">
        <v>73</v>
      </c>
      <c r="B8" s="8">
        <v>0.40500000000000003</v>
      </c>
      <c r="C8" s="8">
        <v>0.41499999999999998</v>
      </c>
      <c r="D8" s="8">
        <v>0.39500000000000002</v>
      </c>
      <c r="E8" s="8">
        <v>0.50800000000000001</v>
      </c>
      <c r="F8" s="8">
        <v>0.435</v>
      </c>
      <c r="G8" s="8">
        <v>0.53299999999999992</v>
      </c>
      <c r="H8" s="8">
        <v>0.54799999999999993</v>
      </c>
      <c r="I8" s="8">
        <v>0.40500000000000003</v>
      </c>
      <c r="J8" s="8">
        <v>0.58299999999999996</v>
      </c>
      <c r="K8" s="8">
        <v>0.76500000000000001</v>
      </c>
      <c r="L8" s="8">
        <v>0.313</v>
      </c>
      <c r="M8" s="8">
        <v>0.315</v>
      </c>
    </row>
    <row r="9" spans="1:13" x14ac:dyDescent="0.3">
      <c r="A9" s="7" t="s">
        <v>74</v>
      </c>
      <c r="B9" s="8">
        <v>0.51</v>
      </c>
      <c r="C9" s="8">
        <v>0.38300000000000001</v>
      </c>
      <c r="D9" s="8">
        <v>0.41299999999999998</v>
      </c>
      <c r="E9" s="8">
        <v>0.55000000000000004</v>
      </c>
      <c r="F9" s="8">
        <v>0.54</v>
      </c>
      <c r="G9" s="8">
        <v>0.47299999999999998</v>
      </c>
      <c r="H9" s="8">
        <v>0.435</v>
      </c>
      <c r="I9" s="8">
        <v>0.46800000000000003</v>
      </c>
      <c r="J9" s="8">
        <v>0.44800000000000001</v>
      </c>
      <c r="K9" s="8">
        <v>0.44800000000000001</v>
      </c>
      <c r="L9" s="8">
        <v>0.27800000000000002</v>
      </c>
      <c r="M9" s="8">
        <v>0.34</v>
      </c>
    </row>
    <row r="10" spans="1:13" x14ac:dyDescent="0.3">
      <c r="A10" s="7" t="s">
        <v>75</v>
      </c>
      <c r="B10" s="8">
        <v>0.24299999999999999</v>
      </c>
      <c r="C10" s="8">
        <v>0.28299999999999997</v>
      </c>
      <c r="D10" s="8">
        <v>0.223</v>
      </c>
      <c r="E10" s="8">
        <v>0.33300000000000002</v>
      </c>
      <c r="F10" s="8">
        <v>0.38500000000000001</v>
      </c>
      <c r="G10" s="8">
        <v>0.56000000000000005</v>
      </c>
      <c r="H10" s="8">
        <v>0.68500000000000005</v>
      </c>
      <c r="I10" s="8">
        <v>0.39300000000000002</v>
      </c>
      <c r="J10" s="8">
        <v>0.48299999999999998</v>
      </c>
      <c r="K10" s="8">
        <v>0.47</v>
      </c>
      <c r="L10" s="8">
        <v>0.498</v>
      </c>
      <c r="M10" s="8">
        <v>0.47499999999999998</v>
      </c>
    </row>
    <row r="11" spans="1:13" x14ac:dyDescent="0.3">
      <c r="A11" s="7" t="s">
        <v>76</v>
      </c>
      <c r="B11" s="8">
        <v>0.255</v>
      </c>
      <c r="C11" s="8">
        <v>0.34300000000000003</v>
      </c>
      <c r="D11" s="8">
        <v>0.25800000000000001</v>
      </c>
      <c r="E11" s="8">
        <v>0.34799999999999998</v>
      </c>
      <c r="F11" s="8">
        <v>0.46</v>
      </c>
      <c r="G11" s="8">
        <v>0.26800000000000002</v>
      </c>
      <c r="H11" s="8">
        <v>0.503</v>
      </c>
      <c r="I11" s="8">
        <v>0.39300000000000002</v>
      </c>
      <c r="J11" s="8">
        <v>0.53799999999999992</v>
      </c>
      <c r="K11" s="8">
        <v>0.54</v>
      </c>
      <c r="L11" s="8">
        <v>0.48299999999999998</v>
      </c>
      <c r="M11" s="8">
        <v>0.433</v>
      </c>
    </row>
    <row r="12" spans="1:13" x14ac:dyDescent="0.3">
      <c r="A12" s="7" t="s">
        <v>77</v>
      </c>
      <c r="B12" s="8">
        <v>0.185</v>
      </c>
      <c r="C12" s="8">
        <v>0.28000000000000003</v>
      </c>
      <c r="D12" s="8">
        <v>0.20499999999999999</v>
      </c>
      <c r="E12" s="8">
        <v>0.19</v>
      </c>
      <c r="F12" s="8">
        <v>0.41299999999999998</v>
      </c>
      <c r="G12" s="8">
        <v>0.318</v>
      </c>
      <c r="H12" s="8">
        <v>0.59</v>
      </c>
      <c r="I12" s="8">
        <v>0.48499999999999999</v>
      </c>
      <c r="J12" s="8">
        <v>0.58499999999999996</v>
      </c>
      <c r="K12" s="8">
        <v>0.56799999999999995</v>
      </c>
      <c r="L12" s="8">
        <v>0.30499999999999999</v>
      </c>
      <c r="M12" s="8">
        <v>0.39300000000000002</v>
      </c>
    </row>
    <row r="13" spans="1:13" x14ac:dyDescent="0.3">
      <c r="A13" s="7" t="s">
        <v>78</v>
      </c>
      <c r="B13" s="8">
        <v>0.38</v>
      </c>
      <c r="C13" s="8">
        <v>0.315</v>
      </c>
      <c r="D13" s="8">
        <v>0.308</v>
      </c>
      <c r="E13" s="8">
        <v>0.40300000000000002</v>
      </c>
      <c r="F13" s="8">
        <v>0.498</v>
      </c>
      <c r="G13" s="8">
        <v>0.63</v>
      </c>
      <c r="H13" s="8">
        <v>0.375</v>
      </c>
      <c r="I13" s="8">
        <v>0.34</v>
      </c>
      <c r="J13" s="8">
        <v>0.26300000000000001</v>
      </c>
      <c r="K13" s="8">
        <v>0.38300000000000001</v>
      </c>
      <c r="L13" s="8">
        <v>0.313</v>
      </c>
      <c r="M13" s="8">
        <v>0.308</v>
      </c>
    </row>
    <row r="14" spans="1:13" x14ac:dyDescent="0.3">
      <c r="A14" s="7" t="s">
        <v>79</v>
      </c>
      <c r="B14" s="8">
        <v>0.17799999999999999</v>
      </c>
      <c r="C14" s="8">
        <v>0.28799999999999998</v>
      </c>
      <c r="D14" s="8">
        <v>0.23300000000000001</v>
      </c>
      <c r="E14" s="8">
        <v>0.39</v>
      </c>
      <c r="F14" s="8">
        <v>0.37799999999999989</v>
      </c>
      <c r="G14" s="8">
        <v>0.47499999999999998</v>
      </c>
      <c r="H14" s="8">
        <v>0.47799999999999998</v>
      </c>
      <c r="I14" s="8">
        <v>0.308</v>
      </c>
      <c r="J14" s="8">
        <v>0.32300000000000001</v>
      </c>
      <c r="K14" s="8">
        <v>0.60499999999999998</v>
      </c>
      <c r="L14" s="8">
        <v>0.35</v>
      </c>
      <c r="M14" s="8">
        <v>0.33500000000000002</v>
      </c>
    </row>
    <row r="15" spans="1:13" x14ac:dyDescent="0.3">
      <c r="A15" s="7" t="s">
        <v>80</v>
      </c>
      <c r="B15" s="8">
        <v>0.45800000000000002</v>
      </c>
      <c r="C15" s="8">
        <v>0.39800000000000002</v>
      </c>
      <c r="D15" s="8">
        <v>0.34799999999999998</v>
      </c>
      <c r="E15" s="8">
        <v>0.505</v>
      </c>
      <c r="F15" s="8">
        <v>0.39300000000000002</v>
      </c>
      <c r="G15" s="8">
        <v>0.53299999999999992</v>
      </c>
      <c r="H15" s="8">
        <v>0.16</v>
      </c>
      <c r="I15" s="8">
        <v>0.16</v>
      </c>
      <c r="J15" s="8">
        <v>0.13300000000000001</v>
      </c>
      <c r="K15" s="8">
        <v>0.27300000000000002</v>
      </c>
      <c r="L15" s="8">
        <v>0.185</v>
      </c>
      <c r="M15" s="8">
        <v>0.13800000000000001</v>
      </c>
    </row>
    <row r="16" spans="1:13" x14ac:dyDescent="0.3">
      <c r="A16" s="7" t="s">
        <v>81</v>
      </c>
      <c r="B16" s="8">
        <v>0.115</v>
      </c>
      <c r="C16" s="8">
        <v>0.31</v>
      </c>
      <c r="D16" s="8">
        <v>0.23300000000000001</v>
      </c>
      <c r="E16" s="8">
        <v>0.26500000000000001</v>
      </c>
      <c r="F16" s="8">
        <v>0.23499999999999999</v>
      </c>
      <c r="G16" s="8">
        <v>0.38800000000000001</v>
      </c>
      <c r="H16" s="8">
        <v>0.31</v>
      </c>
      <c r="I16" s="8">
        <v>0.26</v>
      </c>
      <c r="J16" s="8">
        <v>0.28799999999999998</v>
      </c>
      <c r="K16" s="8">
        <v>0.37</v>
      </c>
      <c r="L16" s="8">
        <v>0.22</v>
      </c>
      <c r="M16" s="8">
        <v>0.22</v>
      </c>
    </row>
    <row r="17" spans="1:13" x14ac:dyDescent="0.3">
      <c r="A17" s="7" t="s">
        <v>82</v>
      </c>
      <c r="B17" s="8">
        <v>0.115</v>
      </c>
      <c r="C17" s="8">
        <v>0.28299999999999997</v>
      </c>
      <c r="D17" s="8">
        <v>0.16</v>
      </c>
      <c r="E17" s="8">
        <v>0.155</v>
      </c>
      <c r="F17" s="8">
        <v>0.20300000000000001</v>
      </c>
      <c r="G17" s="8">
        <v>0.28000000000000003</v>
      </c>
      <c r="H17" s="8">
        <v>0.253</v>
      </c>
      <c r="I17" s="8">
        <v>0.27300000000000002</v>
      </c>
      <c r="J17" s="8">
        <v>0.27300000000000002</v>
      </c>
      <c r="K17" s="8">
        <v>0.28000000000000003</v>
      </c>
      <c r="L17" s="8">
        <v>0.22500000000000001</v>
      </c>
      <c r="M17" s="8">
        <v>0.20799999999999999</v>
      </c>
    </row>
    <row r="18" spans="1:13" x14ac:dyDescent="0.3">
      <c r="A18" s="7" t="s">
        <v>83</v>
      </c>
      <c r="B18" s="8">
        <v>0.18</v>
      </c>
      <c r="C18" s="8">
        <v>0.19800000000000001</v>
      </c>
      <c r="D18" s="8">
        <v>0.155</v>
      </c>
      <c r="E18" s="8">
        <v>0.1</v>
      </c>
      <c r="F18" s="8">
        <v>0.315</v>
      </c>
      <c r="G18" s="8">
        <v>0.20799999999999999</v>
      </c>
      <c r="H18" s="8">
        <v>0.245</v>
      </c>
      <c r="I18" s="8">
        <v>0.218</v>
      </c>
      <c r="J18" s="8">
        <v>0.183</v>
      </c>
      <c r="K18" s="8">
        <v>6.3E-2</v>
      </c>
      <c r="L18" s="8">
        <v>0.19500000000000001</v>
      </c>
      <c r="M18" s="8">
        <v>0.253</v>
      </c>
    </row>
    <row r="19" spans="1:13" x14ac:dyDescent="0.3">
      <c r="A19" s="7" t="s">
        <v>64</v>
      </c>
      <c r="B19" s="8"/>
      <c r="C19" s="8">
        <v>3.0000000000000001E-3</v>
      </c>
      <c r="D19" s="8">
        <v>3.0000000000000001E-3</v>
      </c>
      <c r="E19" s="8">
        <v>3.0000000000000001E-3</v>
      </c>
      <c r="F19" s="8">
        <v>8.0000000000000002E-3</v>
      </c>
      <c r="G19" s="8"/>
      <c r="H19" s="8">
        <v>1.2999999999999999E-2</v>
      </c>
      <c r="I19" s="8">
        <v>3.0000000000000001E-3</v>
      </c>
      <c r="J19" s="8">
        <v>1.2999999999999999E-2</v>
      </c>
      <c r="K19" s="8">
        <v>0.01</v>
      </c>
      <c r="L19" s="8">
        <v>1.4999999999999999E-2</v>
      </c>
      <c r="M19" s="8">
        <v>1.7999999999999999E-2</v>
      </c>
    </row>
  </sheetData>
  <autoFilter ref="A5:M20" xr:uid="{00000000-0009-0000-0000-000005000000}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18</v>
      </c>
    </row>
    <row r="2" spans="1:13" ht="45" x14ac:dyDescent="0.3">
      <c r="A2" s="6" t="s">
        <v>4</v>
      </c>
      <c r="B2" s="3" t="s">
        <v>19</v>
      </c>
    </row>
    <row r="3" spans="1:13" x14ac:dyDescent="0.3">
      <c r="A3" s="6" t="s">
        <v>35</v>
      </c>
      <c r="B3" s="3" t="s">
        <v>84</v>
      </c>
    </row>
    <row r="4" spans="1:13" ht="75" x14ac:dyDescent="0.3">
      <c r="A4" s="6" t="s">
        <v>69</v>
      </c>
      <c r="B4" s="3" t="s">
        <v>85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86</v>
      </c>
      <c r="B6" s="5">
        <v>7.58</v>
      </c>
      <c r="C6" s="5">
        <v>8.66</v>
      </c>
      <c r="D6" s="5">
        <v>7.77</v>
      </c>
      <c r="E6" s="5">
        <v>7.99</v>
      </c>
      <c r="F6" s="5">
        <v>8.83</v>
      </c>
      <c r="G6" s="5">
        <v>8.7200000000000006</v>
      </c>
      <c r="H6" s="5">
        <v>8.91</v>
      </c>
      <c r="I6" s="5">
        <v>7.6</v>
      </c>
      <c r="J6" s="5">
        <v>7.7</v>
      </c>
      <c r="K6" s="5">
        <v>8.73</v>
      </c>
      <c r="L6" s="5">
        <v>8.3800000000000008</v>
      </c>
      <c r="M6" s="5">
        <v>7.64</v>
      </c>
    </row>
    <row r="7" spans="1:13" x14ac:dyDescent="0.3">
      <c r="A7" s="7" t="s">
        <v>87</v>
      </c>
      <c r="B7" s="5">
        <v>7.43</v>
      </c>
      <c r="C7" s="5">
        <v>8.56</v>
      </c>
      <c r="D7" s="5">
        <v>7.76</v>
      </c>
      <c r="E7" s="5">
        <v>7.78</v>
      </c>
      <c r="F7" s="5">
        <v>8.8699999999999992</v>
      </c>
      <c r="G7" s="5">
        <v>8.82</v>
      </c>
      <c r="H7" s="5">
        <v>8.9</v>
      </c>
      <c r="I7" s="5">
        <v>7.99</v>
      </c>
      <c r="J7" s="5">
        <v>7.87</v>
      </c>
      <c r="K7" s="5">
        <v>9</v>
      </c>
      <c r="L7" s="5">
        <v>7.92</v>
      </c>
      <c r="M7" s="5">
        <v>7.46</v>
      </c>
    </row>
    <row r="8" spans="1:13" x14ac:dyDescent="0.3">
      <c r="A8" s="7" t="s">
        <v>88</v>
      </c>
      <c r="B8" s="5">
        <v>7.82</v>
      </c>
      <c r="C8" s="5">
        <v>8.64</v>
      </c>
      <c r="D8" s="5">
        <v>7.52</v>
      </c>
      <c r="E8" s="5">
        <v>7.65</v>
      </c>
      <c r="F8" s="5">
        <v>8.98</v>
      </c>
      <c r="G8" s="5">
        <v>8.81</v>
      </c>
      <c r="H8" s="5">
        <v>8.75</v>
      </c>
      <c r="I8" s="5">
        <v>7.51</v>
      </c>
      <c r="J8" s="5">
        <v>7.83</v>
      </c>
      <c r="K8" s="5">
        <v>8.7899999999999991</v>
      </c>
      <c r="L8" s="5">
        <v>7.76</v>
      </c>
      <c r="M8" s="5">
        <v>7.22</v>
      </c>
    </row>
    <row r="9" spans="1:13" ht="30" x14ac:dyDescent="0.3">
      <c r="A9" s="7" t="s">
        <v>89</v>
      </c>
      <c r="B9" s="5">
        <v>7.39</v>
      </c>
      <c r="C9" s="5">
        <v>8.7200000000000006</v>
      </c>
      <c r="D9" s="5">
        <v>8.14</v>
      </c>
      <c r="E9" s="5">
        <v>7.87</v>
      </c>
      <c r="F9" s="5">
        <v>8.99</v>
      </c>
      <c r="G9" s="5">
        <v>8.76</v>
      </c>
      <c r="H9" s="5">
        <v>8.7799999999999994</v>
      </c>
      <c r="I9" s="5">
        <v>8.1300000000000008</v>
      </c>
      <c r="J9" s="5">
        <v>8.1300000000000008</v>
      </c>
      <c r="K9" s="5">
        <v>8.8000000000000007</v>
      </c>
      <c r="L9" s="5">
        <v>6.31</v>
      </c>
      <c r="M9" s="5">
        <v>6.24</v>
      </c>
    </row>
    <row r="10" spans="1:13" x14ac:dyDescent="0.3">
      <c r="A10" s="7" t="s">
        <v>90</v>
      </c>
      <c r="B10" s="5">
        <v>7.58</v>
      </c>
      <c r="C10" s="5">
        <v>8.65</v>
      </c>
      <c r="D10" s="5">
        <v>8</v>
      </c>
      <c r="E10" s="5">
        <v>8.01</v>
      </c>
      <c r="F10" s="5">
        <v>8.85</v>
      </c>
      <c r="G10" s="5">
        <v>8.7899999999999991</v>
      </c>
      <c r="H10" s="5">
        <v>8.5500000000000007</v>
      </c>
      <c r="I10" s="5">
        <v>7.28</v>
      </c>
      <c r="J10" s="5">
        <v>7.24</v>
      </c>
      <c r="K10" s="5">
        <v>8.39</v>
      </c>
      <c r="L10" s="5">
        <v>7.78</v>
      </c>
      <c r="M10" s="5">
        <v>6.76</v>
      </c>
    </row>
    <row r="11" spans="1:13" ht="30" x14ac:dyDescent="0.3">
      <c r="A11" s="7" t="s">
        <v>91</v>
      </c>
      <c r="B11" s="5">
        <v>7.31</v>
      </c>
      <c r="C11" s="5">
        <v>8.7799999999999994</v>
      </c>
      <c r="D11" s="5">
        <v>7.98</v>
      </c>
      <c r="E11" s="5">
        <v>7.91</v>
      </c>
      <c r="F11" s="5">
        <v>8.85</v>
      </c>
      <c r="G11" s="5">
        <v>8.7799999999999994</v>
      </c>
      <c r="H11" s="5">
        <v>8.93</v>
      </c>
      <c r="I11" s="5">
        <v>7.62</v>
      </c>
      <c r="J11" s="5">
        <v>7.52</v>
      </c>
      <c r="K11" s="5">
        <v>8.85</v>
      </c>
      <c r="L11" s="5">
        <v>6.32</v>
      </c>
      <c r="M11" s="5">
        <v>6.26</v>
      </c>
    </row>
    <row r="12" spans="1:13" ht="30" x14ac:dyDescent="0.3">
      <c r="A12" s="7" t="s">
        <v>92</v>
      </c>
      <c r="B12" s="5">
        <v>6.83</v>
      </c>
      <c r="C12" s="5">
        <v>8.48</v>
      </c>
      <c r="D12" s="5">
        <v>7.89</v>
      </c>
      <c r="E12" s="5">
        <v>7.63</v>
      </c>
      <c r="F12" s="5">
        <v>8.6</v>
      </c>
      <c r="G12" s="5">
        <v>8.92</v>
      </c>
      <c r="H12" s="5">
        <v>8.73</v>
      </c>
      <c r="I12" s="5">
        <v>7.59</v>
      </c>
      <c r="J12" s="5">
        <v>7.73</v>
      </c>
      <c r="K12" s="5">
        <v>8.5500000000000007</v>
      </c>
      <c r="L12" s="5">
        <v>7.2</v>
      </c>
      <c r="M12" s="5">
        <v>6.44</v>
      </c>
    </row>
    <row r="13" spans="1:13" x14ac:dyDescent="0.3">
      <c r="A13" s="7" t="s">
        <v>93</v>
      </c>
      <c r="B13" s="5">
        <v>6.69</v>
      </c>
      <c r="C13" s="5">
        <v>8.51</v>
      </c>
      <c r="D13" s="5">
        <v>7.34</v>
      </c>
      <c r="E13" s="5">
        <v>7.26</v>
      </c>
      <c r="F13" s="5">
        <v>8.39</v>
      </c>
      <c r="G13" s="5">
        <v>8.3000000000000007</v>
      </c>
      <c r="H13" s="5">
        <v>8.17</v>
      </c>
      <c r="I13" s="5">
        <v>7.29</v>
      </c>
      <c r="J13" s="5">
        <v>6.89</v>
      </c>
      <c r="K13" s="5">
        <v>8.2799999999999994</v>
      </c>
      <c r="L13" s="5">
        <v>7.36</v>
      </c>
      <c r="M13" s="5">
        <v>7.01</v>
      </c>
    </row>
    <row r="14" spans="1:13" ht="30" x14ac:dyDescent="0.3">
      <c r="A14" s="7" t="s">
        <v>94</v>
      </c>
      <c r="B14" s="5">
        <v>6.44</v>
      </c>
      <c r="C14" s="5">
        <v>8.51</v>
      </c>
      <c r="D14" s="5">
        <v>7.03</v>
      </c>
      <c r="E14" s="5">
        <v>6.91</v>
      </c>
      <c r="F14" s="5">
        <v>8.6</v>
      </c>
      <c r="G14" s="5">
        <v>8.93</v>
      </c>
      <c r="H14" s="5">
        <v>8.5</v>
      </c>
      <c r="I14" s="5">
        <v>7.18</v>
      </c>
      <c r="J14" s="5">
        <v>7.23</v>
      </c>
      <c r="K14" s="5">
        <v>8.84</v>
      </c>
      <c r="L14" s="5">
        <v>6.68</v>
      </c>
      <c r="M14" s="5">
        <v>6.43</v>
      </c>
    </row>
    <row r="15" spans="1:13" ht="30" x14ac:dyDescent="0.3">
      <c r="A15" s="7" t="s">
        <v>95</v>
      </c>
      <c r="B15" s="5">
        <v>6.75</v>
      </c>
      <c r="C15" s="5">
        <v>8.27</v>
      </c>
      <c r="D15" s="5">
        <v>7.55</v>
      </c>
      <c r="E15" s="5">
        <v>7.32</v>
      </c>
      <c r="F15" s="5">
        <v>8.73</v>
      </c>
      <c r="G15" s="5">
        <v>8.51</v>
      </c>
      <c r="H15" s="5">
        <v>8.36</v>
      </c>
      <c r="I15" s="5">
        <v>7.3</v>
      </c>
      <c r="J15" s="5">
        <v>7.11</v>
      </c>
      <c r="K15" s="5">
        <v>8.07</v>
      </c>
      <c r="L15" s="5">
        <v>6.3</v>
      </c>
      <c r="M15" s="5">
        <v>6.14</v>
      </c>
    </row>
    <row r="16" spans="1:13" ht="30" x14ac:dyDescent="0.3">
      <c r="A16" s="7" t="s">
        <v>96</v>
      </c>
      <c r="B16" s="5">
        <v>6.9</v>
      </c>
      <c r="C16" s="5">
        <v>8.24</v>
      </c>
      <c r="D16" s="5">
        <v>7.46</v>
      </c>
      <c r="E16" s="5">
        <v>7.08</v>
      </c>
      <c r="F16" s="5">
        <v>8.44</v>
      </c>
      <c r="G16" s="5">
        <v>8.33</v>
      </c>
      <c r="H16" s="5">
        <v>7.92</v>
      </c>
      <c r="I16" s="5">
        <v>7.07</v>
      </c>
      <c r="J16" s="5">
        <v>5.83</v>
      </c>
      <c r="K16" s="5">
        <v>7.5</v>
      </c>
      <c r="L16" s="5">
        <v>7.71</v>
      </c>
      <c r="M16" s="5">
        <v>7.13</v>
      </c>
    </row>
    <row r="17" spans="1:13" ht="30" x14ac:dyDescent="0.3">
      <c r="A17" s="7" t="s">
        <v>97</v>
      </c>
      <c r="B17" s="5">
        <v>6.81</v>
      </c>
      <c r="C17" s="5">
        <v>7.78</v>
      </c>
      <c r="D17" s="5">
        <v>6.86</v>
      </c>
      <c r="E17" s="5">
        <v>6.79</v>
      </c>
      <c r="F17" s="5">
        <v>8.4700000000000006</v>
      </c>
      <c r="G17" s="5">
        <v>8.31</v>
      </c>
      <c r="H17" s="5">
        <v>8.42</v>
      </c>
      <c r="I17" s="5">
        <v>7.38</v>
      </c>
      <c r="J17" s="5">
        <v>6.8</v>
      </c>
      <c r="K17" s="5">
        <v>8.31</v>
      </c>
      <c r="L17" s="5">
        <v>6.43</v>
      </c>
      <c r="M17" s="5">
        <v>6.01</v>
      </c>
    </row>
    <row r="18" spans="1:13" ht="30" x14ac:dyDescent="0.3">
      <c r="A18" s="7" t="s">
        <v>98</v>
      </c>
      <c r="B18" s="5">
        <v>5.96</v>
      </c>
      <c r="C18" s="5">
        <v>8.24</v>
      </c>
      <c r="D18" s="5">
        <v>6.87</v>
      </c>
      <c r="E18" s="5">
        <v>6.27</v>
      </c>
      <c r="F18" s="5">
        <v>8.5500000000000007</v>
      </c>
      <c r="G18" s="5">
        <v>8.59</v>
      </c>
      <c r="H18" s="5">
        <v>8.0500000000000007</v>
      </c>
      <c r="I18" s="5">
        <v>7.02</v>
      </c>
      <c r="J18" s="5">
        <v>7.75</v>
      </c>
      <c r="K18" s="5">
        <v>9.2799999999999994</v>
      </c>
      <c r="L18" s="5">
        <v>6.05</v>
      </c>
      <c r="M18" s="5">
        <v>5.63</v>
      </c>
    </row>
    <row r="19" spans="1:13" ht="30" x14ac:dyDescent="0.3">
      <c r="A19" s="7" t="s">
        <v>99</v>
      </c>
      <c r="B19" s="5">
        <v>6.9</v>
      </c>
      <c r="C19" s="5">
        <v>8.39</v>
      </c>
      <c r="D19" s="5">
        <v>7.09</v>
      </c>
      <c r="E19" s="5">
        <v>6.6</v>
      </c>
      <c r="F19" s="5">
        <v>8.5399999999999991</v>
      </c>
      <c r="G19" s="5">
        <v>8.31</v>
      </c>
      <c r="H19" s="5">
        <v>7.99</v>
      </c>
      <c r="I19" s="5">
        <v>6.94</v>
      </c>
      <c r="J19" s="5">
        <v>7.19</v>
      </c>
      <c r="K19" s="5">
        <v>8.2200000000000006</v>
      </c>
      <c r="L19" s="5">
        <v>6.22</v>
      </c>
      <c r="M19" s="5">
        <v>5.7</v>
      </c>
    </row>
    <row r="20" spans="1:13" ht="30" x14ac:dyDescent="0.3">
      <c r="A20" s="7" t="s">
        <v>100</v>
      </c>
      <c r="B20" s="5">
        <v>6.72</v>
      </c>
      <c r="C20" s="5">
        <v>8.42</v>
      </c>
      <c r="D20" s="5">
        <v>7</v>
      </c>
      <c r="E20" s="5">
        <v>6.37</v>
      </c>
      <c r="F20" s="5">
        <v>8.4700000000000006</v>
      </c>
      <c r="G20" s="5">
        <v>8.41</v>
      </c>
      <c r="H20" s="5">
        <v>8.0299999999999994</v>
      </c>
      <c r="I20" s="5">
        <v>6.66</v>
      </c>
      <c r="J20" s="5">
        <v>6.75</v>
      </c>
      <c r="K20" s="5">
        <v>8.7200000000000006</v>
      </c>
      <c r="L20" s="5">
        <v>6.34</v>
      </c>
      <c r="M20" s="5">
        <v>5.89</v>
      </c>
    </row>
    <row r="21" spans="1:13" ht="30" x14ac:dyDescent="0.3">
      <c r="A21" s="7" t="s">
        <v>101</v>
      </c>
      <c r="B21" s="5">
        <v>6.28</v>
      </c>
      <c r="C21" s="5">
        <v>8.2899999999999991</v>
      </c>
      <c r="D21" s="5">
        <v>7.19</v>
      </c>
      <c r="E21" s="5">
        <v>6.97</v>
      </c>
      <c r="F21" s="5">
        <v>8.4</v>
      </c>
      <c r="G21" s="5">
        <v>8.4700000000000006</v>
      </c>
      <c r="H21" s="5">
        <v>8.2100000000000009</v>
      </c>
      <c r="I21" s="5">
        <v>6.9</v>
      </c>
      <c r="J21" s="5">
        <v>6.45</v>
      </c>
      <c r="K21" s="5">
        <v>8.15</v>
      </c>
      <c r="L21" s="5">
        <v>6.48</v>
      </c>
      <c r="M21" s="5">
        <v>5.89</v>
      </c>
    </row>
    <row r="22" spans="1:13" x14ac:dyDescent="0.3">
      <c r="A22" s="7" t="s">
        <v>102</v>
      </c>
      <c r="B22" s="5">
        <v>6.03</v>
      </c>
      <c r="C22" s="5">
        <v>8.26</v>
      </c>
      <c r="D22" s="5">
        <v>7.09</v>
      </c>
      <c r="E22" s="5">
        <v>6.85</v>
      </c>
      <c r="F22" s="5">
        <v>8.25</v>
      </c>
      <c r="G22" s="5">
        <v>8.3800000000000008</v>
      </c>
      <c r="H22" s="5">
        <v>7.76</v>
      </c>
      <c r="I22" s="5">
        <v>6.84</v>
      </c>
      <c r="J22" s="5">
        <v>6.15</v>
      </c>
      <c r="K22" s="5">
        <v>7.87</v>
      </c>
      <c r="L22" s="5">
        <v>6.39</v>
      </c>
      <c r="M22" s="5">
        <v>5.76</v>
      </c>
    </row>
    <row r="23" spans="1:13" x14ac:dyDescent="0.3">
      <c r="A23" s="7" t="s">
        <v>103</v>
      </c>
      <c r="B23" s="5">
        <v>6.35</v>
      </c>
      <c r="C23" s="5">
        <v>8.1300000000000008</v>
      </c>
      <c r="D23" s="5">
        <v>7.1</v>
      </c>
      <c r="E23" s="5">
        <v>6.84</v>
      </c>
      <c r="F23" s="5">
        <v>8.68</v>
      </c>
      <c r="G23" s="5">
        <v>8.0399999999999991</v>
      </c>
      <c r="H23" s="5">
        <v>7.87</v>
      </c>
      <c r="I23" s="5">
        <v>6.71</v>
      </c>
      <c r="J23" s="5">
        <v>6.41</v>
      </c>
      <c r="K23" s="5">
        <v>8.1</v>
      </c>
      <c r="L23" s="5">
        <v>5.42</v>
      </c>
      <c r="M23" s="5">
        <v>4.99</v>
      </c>
    </row>
    <row r="24" spans="1:13" x14ac:dyDescent="0.3">
      <c r="A24" s="9" t="s">
        <v>104</v>
      </c>
      <c r="B24" s="5">
        <v>7.31</v>
      </c>
      <c r="C24" s="5">
        <v>8.5399999999999991</v>
      </c>
      <c r="D24" s="5">
        <v>7.73</v>
      </c>
      <c r="E24" s="5">
        <v>7.67</v>
      </c>
      <c r="F24" s="5">
        <v>8.8699999999999992</v>
      </c>
      <c r="G24" s="5">
        <v>8.7799999999999994</v>
      </c>
      <c r="H24" s="5">
        <v>8.75</v>
      </c>
      <c r="I24" s="5">
        <v>7.68</v>
      </c>
      <c r="J24" s="5">
        <v>7.66</v>
      </c>
      <c r="K24" s="5">
        <v>8.8000000000000007</v>
      </c>
      <c r="L24" s="5">
        <v>7.34</v>
      </c>
      <c r="M24" s="5">
        <v>6.91</v>
      </c>
    </row>
  </sheetData>
  <autoFilter ref="A5:M24" xr:uid="{00000000-0009-0000-0000-000006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21</v>
      </c>
    </row>
    <row r="2" spans="1:13" ht="45" x14ac:dyDescent="0.3">
      <c r="A2" s="6" t="s">
        <v>4</v>
      </c>
      <c r="B2" s="3" t="s">
        <v>22</v>
      </c>
    </row>
    <row r="3" spans="1:13" x14ac:dyDescent="0.3">
      <c r="A3" s="6" t="s">
        <v>35</v>
      </c>
      <c r="B3" s="3" t="s">
        <v>36</v>
      </c>
    </row>
    <row r="4" spans="1:13" ht="75" x14ac:dyDescent="0.3">
      <c r="A4" s="6" t="s">
        <v>69</v>
      </c>
      <c r="B4" s="3" t="s">
        <v>70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87</v>
      </c>
      <c r="B6" s="8">
        <v>0.26</v>
      </c>
      <c r="C6" s="8">
        <v>0.22700000000000001</v>
      </c>
      <c r="D6" s="8">
        <v>0.318</v>
      </c>
      <c r="E6" s="8">
        <v>0.36599999999999999</v>
      </c>
      <c r="F6" s="8">
        <v>0.42399999999999999</v>
      </c>
      <c r="G6" s="8">
        <v>0.44800000000000001</v>
      </c>
      <c r="H6" s="8">
        <v>0.38800000000000001</v>
      </c>
      <c r="I6" s="8">
        <v>0.34200000000000003</v>
      </c>
      <c r="J6" s="8">
        <v>0.34599999999999997</v>
      </c>
      <c r="K6" s="8">
        <v>0.43700000000000011</v>
      </c>
      <c r="L6" s="8">
        <v>0.33600000000000002</v>
      </c>
      <c r="M6" s="8">
        <v>0.29399999999999998</v>
      </c>
    </row>
    <row r="7" spans="1:13" x14ac:dyDescent="0.3">
      <c r="A7" s="7" t="s">
        <v>90</v>
      </c>
      <c r="B7" s="8">
        <v>0.214</v>
      </c>
      <c r="C7" s="8">
        <v>0.219</v>
      </c>
      <c r="D7" s="8">
        <v>0.34699999999999998</v>
      </c>
      <c r="E7" s="8">
        <v>0.42499999999999999</v>
      </c>
      <c r="F7" s="8">
        <v>0.39600000000000002</v>
      </c>
      <c r="G7" s="8">
        <v>0.374</v>
      </c>
      <c r="H7" s="8">
        <v>0.38800000000000001</v>
      </c>
      <c r="I7" s="8">
        <v>0.36399999999999999</v>
      </c>
      <c r="J7" s="8">
        <v>0.35499999999999998</v>
      </c>
      <c r="K7" s="8">
        <v>0.41</v>
      </c>
      <c r="L7" s="8">
        <v>0.33600000000000002</v>
      </c>
      <c r="M7" s="8">
        <v>0.33900000000000002</v>
      </c>
    </row>
    <row r="8" spans="1:13" x14ac:dyDescent="0.3">
      <c r="A8" s="7" t="s">
        <v>105</v>
      </c>
      <c r="B8" s="8">
        <v>0.312</v>
      </c>
      <c r="C8" s="8">
        <v>0.23499999999999999</v>
      </c>
      <c r="D8" s="8">
        <v>0.308</v>
      </c>
      <c r="E8" s="8">
        <v>0.40100000000000002</v>
      </c>
      <c r="F8" s="8">
        <v>0.39100000000000001</v>
      </c>
      <c r="G8" s="8">
        <v>0.44</v>
      </c>
      <c r="H8" s="8">
        <v>0.39600000000000002</v>
      </c>
      <c r="I8" s="8">
        <v>0.36399999999999999</v>
      </c>
      <c r="J8" s="8">
        <v>0.34899999999999998</v>
      </c>
      <c r="K8" s="8">
        <v>0.36599999999999999</v>
      </c>
      <c r="L8" s="8">
        <v>0.30599999999999999</v>
      </c>
      <c r="M8" s="8">
        <v>0.27200000000000002</v>
      </c>
    </row>
    <row r="9" spans="1:13" ht="30" x14ac:dyDescent="0.3">
      <c r="A9" s="7" t="s">
        <v>91</v>
      </c>
      <c r="B9" s="8">
        <v>0.27500000000000002</v>
      </c>
      <c r="C9" s="8">
        <v>0.224</v>
      </c>
      <c r="D9" s="8">
        <v>0.45100000000000001</v>
      </c>
      <c r="E9" s="8">
        <v>0.44400000000000001</v>
      </c>
      <c r="F9" s="8">
        <v>0.35499999999999998</v>
      </c>
      <c r="G9" s="8">
        <v>0.371</v>
      </c>
      <c r="H9" s="8">
        <v>0.46100000000000002</v>
      </c>
      <c r="I9" s="8">
        <v>0.30499999999999999</v>
      </c>
      <c r="J9" s="8">
        <v>0.34899999999999998</v>
      </c>
      <c r="K9" s="8">
        <v>0.377</v>
      </c>
      <c r="L9" s="8">
        <v>0.21</v>
      </c>
      <c r="M9" s="8">
        <v>0.17899999999999999</v>
      </c>
    </row>
    <row r="10" spans="1:13" ht="30" x14ac:dyDescent="0.3">
      <c r="A10" s="7" t="s">
        <v>89</v>
      </c>
      <c r="B10" s="8">
        <v>0.27200000000000002</v>
      </c>
      <c r="C10" s="8">
        <v>0.24</v>
      </c>
      <c r="D10" s="8">
        <v>0.41399999999999998</v>
      </c>
      <c r="E10" s="8">
        <v>0.44400000000000001</v>
      </c>
      <c r="F10" s="8">
        <v>0.36799999999999999</v>
      </c>
      <c r="G10" s="8">
        <v>0.36799999999999999</v>
      </c>
      <c r="H10" s="8">
        <v>0.315</v>
      </c>
      <c r="I10" s="8">
        <v>0.34499999999999997</v>
      </c>
      <c r="J10" s="8">
        <v>0.28000000000000003</v>
      </c>
      <c r="K10" s="8">
        <v>0.36299999999999999</v>
      </c>
      <c r="L10" s="8">
        <v>0.27900000000000003</v>
      </c>
      <c r="M10" s="8">
        <v>0.29099999999999998</v>
      </c>
    </row>
    <row r="11" spans="1:13" x14ac:dyDescent="0.3">
      <c r="A11" s="7" t="s">
        <v>106</v>
      </c>
      <c r="B11" s="8">
        <v>0.26</v>
      </c>
      <c r="C11" s="8">
        <v>0.187</v>
      </c>
      <c r="D11" s="8">
        <v>0.32100000000000001</v>
      </c>
      <c r="E11" s="8">
        <v>0.39</v>
      </c>
      <c r="F11" s="8">
        <v>0.39300000000000002</v>
      </c>
      <c r="G11" s="8">
        <v>0.36799999999999999</v>
      </c>
      <c r="H11" s="8">
        <v>0.38500000000000001</v>
      </c>
      <c r="I11" s="8">
        <v>0.318</v>
      </c>
      <c r="J11" s="8">
        <v>0.32100000000000001</v>
      </c>
      <c r="K11" s="8">
        <v>0.41</v>
      </c>
      <c r="L11" s="8">
        <v>0.29399999999999998</v>
      </c>
      <c r="M11" s="8">
        <v>0.24299999999999999</v>
      </c>
    </row>
    <row r="12" spans="1:13" ht="30" x14ac:dyDescent="0.3">
      <c r="A12" s="7" t="s">
        <v>99</v>
      </c>
      <c r="B12" s="8">
        <v>0.214</v>
      </c>
      <c r="C12" s="8">
        <v>0.19500000000000001</v>
      </c>
      <c r="D12" s="8">
        <v>0.33700000000000002</v>
      </c>
      <c r="E12" s="8">
        <v>0.315</v>
      </c>
      <c r="F12" s="8">
        <v>0.34899999999999998</v>
      </c>
      <c r="G12" s="8">
        <v>0.34300000000000003</v>
      </c>
      <c r="H12" s="8">
        <v>0.34599999999999997</v>
      </c>
      <c r="I12" s="8">
        <v>0.32100000000000001</v>
      </c>
      <c r="J12" s="8">
        <v>0.32400000000000001</v>
      </c>
      <c r="K12" s="8">
        <v>0.35799999999999998</v>
      </c>
      <c r="L12" s="8">
        <v>0.24299999999999999</v>
      </c>
      <c r="M12" s="8">
        <v>0.28399999999999997</v>
      </c>
    </row>
    <row r="13" spans="1:13" x14ac:dyDescent="0.3">
      <c r="A13" s="7" t="s">
        <v>86</v>
      </c>
      <c r="B13" s="8">
        <v>0.22800000000000001</v>
      </c>
      <c r="C13" s="8">
        <v>0.16900000000000001</v>
      </c>
      <c r="D13" s="8">
        <v>0.3</v>
      </c>
      <c r="E13" s="8">
        <v>0.33300000000000002</v>
      </c>
      <c r="F13" s="8">
        <v>0.371</v>
      </c>
      <c r="G13" s="8">
        <v>0.35699999999999998</v>
      </c>
      <c r="H13" s="8">
        <v>0.34300000000000003</v>
      </c>
      <c r="I13" s="8">
        <v>0.26100000000000001</v>
      </c>
      <c r="J13" s="8">
        <v>0.31</v>
      </c>
      <c r="K13" s="8">
        <v>0.38</v>
      </c>
      <c r="L13" s="8">
        <v>0.28799999999999998</v>
      </c>
      <c r="M13" s="8">
        <v>0.26500000000000001</v>
      </c>
    </row>
    <row r="14" spans="1:13" x14ac:dyDescent="0.3">
      <c r="A14" s="7" t="s">
        <v>88</v>
      </c>
      <c r="B14" s="8">
        <v>0.17899999999999999</v>
      </c>
      <c r="C14" s="8">
        <v>0.23</v>
      </c>
      <c r="D14" s="8">
        <v>0.24399999999999999</v>
      </c>
      <c r="E14" s="8">
        <v>0.27200000000000002</v>
      </c>
      <c r="F14" s="8">
        <v>0.40400000000000003</v>
      </c>
      <c r="G14" s="8">
        <v>0.38500000000000001</v>
      </c>
      <c r="H14" s="8">
        <v>0.39900000000000002</v>
      </c>
      <c r="I14" s="8">
        <v>0.28799999999999998</v>
      </c>
      <c r="J14" s="8">
        <v>0.30499999999999999</v>
      </c>
      <c r="K14" s="8">
        <v>0.33600000000000002</v>
      </c>
      <c r="L14" s="8">
        <v>0.27600000000000002</v>
      </c>
      <c r="M14" s="8">
        <v>0.246</v>
      </c>
    </row>
    <row r="15" spans="1:13" x14ac:dyDescent="0.3">
      <c r="A15" s="7" t="s">
        <v>93</v>
      </c>
      <c r="B15" s="8">
        <v>0.153</v>
      </c>
      <c r="C15" s="8">
        <v>0.214</v>
      </c>
      <c r="D15" s="8">
        <v>0.35499999999999998</v>
      </c>
      <c r="E15" s="8">
        <v>0.371</v>
      </c>
      <c r="F15" s="8">
        <v>0.33</v>
      </c>
      <c r="G15" s="8">
        <v>0.371</v>
      </c>
      <c r="H15" s="8">
        <v>0.38800000000000001</v>
      </c>
      <c r="I15" s="8">
        <v>0.27</v>
      </c>
      <c r="J15" s="8">
        <v>0.29399999999999998</v>
      </c>
      <c r="K15" s="8">
        <v>0.36299999999999999</v>
      </c>
      <c r="L15" s="8">
        <v>0.219</v>
      </c>
      <c r="M15" s="8">
        <v>0.21099999999999999</v>
      </c>
    </row>
    <row r="16" spans="1:13" ht="30" x14ac:dyDescent="0.3">
      <c r="A16" s="7" t="s">
        <v>107</v>
      </c>
      <c r="B16" s="8">
        <v>0.24299999999999999</v>
      </c>
      <c r="C16" s="8">
        <v>0.23</v>
      </c>
      <c r="D16" s="8">
        <v>0.34200000000000003</v>
      </c>
      <c r="E16" s="8">
        <v>0.39</v>
      </c>
      <c r="F16" s="8">
        <v>0.36</v>
      </c>
      <c r="G16" s="8">
        <v>0.39600000000000002</v>
      </c>
      <c r="H16" s="8">
        <v>0.34300000000000003</v>
      </c>
      <c r="I16" s="8">
        <v>0.27500000000000002</v>
      </c>
      <c r="J16" s="8">
        <v>0.23499999999999999</v>
      </c>
      <c r="K16" s="8">
        <v>0.32500000000000001</v>
      </c>
      <c r="L16" s="8">
        <v>0.19500000000000001</v>
      </c>
      <c r="M16" s="8">
        <v>0.19500000000000001</v>
      </c>
    </row>
    <row r="17" spans="1:13" x14ac:dyDescent="0.3">
      <c r="A17" s="7" t="s">
        <v>102</v>
      </c>
      <c r="B17" s="8">
        <v>0.17599999999999999</v>
      </c>
      <c r="C17" s="8">
        <v>0.222</v>
      </c>
      <c r="D17" s="8">
        <v>0.29399999999999998</v>
      </c>
      <c r="E17" s="8">
        <v>0.29599999999999999</v>
      </c>
      <c r="F17" s="8">
        <v>0.34899999999999998</v>
      </c>
      <c r="G17" s="8">
        <v>0.33500000000000002</v>
      </c>
      <c r="H17" s="8">
        <v>0.317</v>
      </c>
      <c r="I17" s="8">
        <v>0.28599999999999998</v>
      </c>
      <c r="J17" s="8">
        <v>0.28799999999999998</v>
      </c>
      <c r="K17" s="8">
        <v>0.35199999999999998</v>
      </c>
      <c r="L17" s="8">
        <v>0.309</v>
      </c>
      <c r="M17" s="8">
        <v>0.29099999999999998</v>
      </c>
    </row>
    <row r="18" spans="1:13" ht="30" x14ac:dyDescent="0.3">
      <c r="A18" s="7" t="s">
        <v>97</v>
      </c>
      <c r="B18" s="8">
        <v>0.185</v>
      </c>
      <c r="C18" s="8">
        <v>0.216</v>
      </c>
      <c r="D18" s="8">
        <v>0.32600000000000001</v>
      </c>
      <c r="E18" s="8">
        <v>0.32300000000000001</v>
      </c>
      <c r="F18" s="8">
        <v>0.34100000000000003</v>
      </c>
      <c r="G18" s="8">
        <v>0.34300000000000003</v>
      </c>
      <c r="H18" s="8">
        <v>0.374</v>
      </c>
      <c r="I18" s="8">
        <v>0.29399999999999998</v>
      </c>
      <c r="J18" s="8">
        <v>0.252</v>
      </c>
      <c r="K18" s="8">
        <v>0.317</v>
      </c>
      <c r="L18" s="8">
        <v>0.186</v>
      </c>
      <c r="M18" s="8">
        <v>0.22</v>
      </c>
    </row>
    <row r="19" spans="1:13" ht="30" x14ac:dyDescent="0.3">
      <c r="A19" s="7" t="s">
        <v>92</v>
      </c>
      <c r="B19" s="8">
        <v>0.20499999999999999</v>
      </c>
      <c r="C19" s="8">
        <v>0.193</v>
      </c>
      <c r="D19" s="8">
        <v>0.28899999999999998</v>
      </c>
      <c r="E19" s="8">
        <v>0.32500000000000001</v>
      </c>
      <c r="F19" s="8">
        <v>0.316</v>
      </c>
      <c r="G19" s="8">
        <v>0.30499999999999999</v>
      </c>
      <c r="H19" s="8">
        <v>0.34599999999999997</v>
      </c>
      <c r="I19" s="8">
        <v>0.27200000000000002</v>
      </c>
      <c r="J19" s="8">
        <v>0.28299999999999997</v>
      </c>
      <c r="K19" s="8">
        <v>0.29499999999999998</v>
      </c>
      <c r="L19" s="8">
        <v>0.222</v>
      </c>
      <c r="M19" s="8">
        <v>0.22700000000000001</v>
      </c>
    </row>
    <row r="20" spans="1:13" ht="30" x14ac:dyDescent="0.3">
      <c r="A20" s="7" t="s">
        <v>98</v>
      </c>
      <c r="B20" s="8">
        <v>0.159</v>
      </c>
      <c r="C20" s="8">
        <v>0.24</v>
      </c>
      <c r="D20" s="8">
        <v>0.23300000000000001</v>
      </c>
      <c r="E20" s="8">
        <v>0.19600000000000001</v>
      </c>
      <c r="F20" s="8">
        <v>0.32100000000000001</v>
      </c>
      <c r="G20" s="8">
        <v>0.36499999999999999</v>
      </c>
      <c r="H20" s="8">
        <v>0.317</v>
      </c>
      <c r="I20" s="8">
        <v>0.28299999999999997</v>
      </c>
      <c r="J20" s="8">
        <v>0.26</v>
      </c>
      <c r="K20" s="8">
        <v>0.28100000000000003</v>
      </c>
      <c r="L20" s="8">
        <v>0.26400000000000001</v>
      </c>
      <c r="M20" s="8">
        <v>0.23599999999999999</v>
      </c>
    </row>
    <row r="21" spans="1:13" ht="30" x14ac:dyDescent="0.3">
      <c r="A21" s="7" t="s">
        <v>94</v>
      </c>
      <c r="B21" s="8">
        <v>0.15</v>
      </c>
      <c r="C21" s="8">
        <v>0.23200000000000001</v>
      </c>
      <c r="D21" s="8">
        <v>0.23599999999999999</v>
      </c>
      <c r="E21" s="8">
        <v>0.20399999999999999</v>
      </c>
      <c r="F21" s="8">
        <v>0.39300000000000002</v>
      </c>
      <c r="G21" s="8">
        <v>0.34899999999999998</v>
      </c>
      <c r="H21" s="8">
        <v>0.35099999999999998</v>
      </c>
      <c r="I21" s="8">
        <v>0.20499999999999999</v>
      </c>
      <c r="J21" s="8">
        <v>0.255</v>
      </c>
      <c r="K21" s="8">
        <v>0.377</v>
      </c>
      <c r="L21" s="8">
        <v>0.186</v>
      </c>
      <c r="M21" s="8">
        <v>0.13100000000000001</v>
      </c>
    </row>
    <row r="22" spans="1:13" ht="30" x14ac:dyDescent="0.3">
      <c r="A22" s="7" t="s">
        <v>100</v>
      </c>
      <c r="B22" s="8">
        <v>0.214</v>
      </c>
      <c r="C22" s="8">
        <v>0.16900000000000001</v>
      </c>
      <c r="D22" s="8">
        <v>0.30499999999999999</v>
      </c>
      <c r="E22" s="8">
        <v>0.23100000000000001</v>
      </c>
      <c r="F22" s="8">
        <v>0.32400000000000001</v>
      </c>
      <c r="G22" s="8">
        <v>0.29899999999999999</v>
      </c>
      <c r="H22" s="8">
        <v>0.28100000000000003</v>
      </c>
      <c r="I22" s="8">
        <v>0.191</v>
      </c>
      <c r="J22" s="8">
        <v>0.23300000000000001</v>
      </c>
      <c r="K22" s="8">
        <v>0.29799999999999999</v>
      </c>
      <c r="L22" s="8">
        <v>0.22500000000000001</v>
      </c>
      <c r="M22" s="8">
        <v>0.224</v>
      </c>
    </row>
    <row r="23" spans="1:13" x14ac:dyDescent="0.3">
      <c r="A23" s="7" t="s">
        <v>108</v>
      </c>
      <c r="B23" s="8">
        <v>0.16500000000000001</v>
      </c>
      <c r="C23" s="8">
        <v>0.214</v>
      </c>
      <c r="D23" s="8">
        <v>0.249</v>
      </c>
      <c r="E23" s="8">
        <v>0.23899999999999999</v>
      </c>
      <c r="F23" s="8">
        <v>0.307</v>
      </c>
      <c r="G23" s="8">
        <v>0.245</v>
      </c>
      <c r="H23" s="8">
        <v>0.28899999999999998</v>
      </c>
      <c r="I23" s="8">
        <v>0.23699999999999999</v>
      </c>
      <c r="J23" s="8">
        <v>0.21299999999999999</v>
      </c>
      <c r="K23" s="8">
        <v>0.28399999999999997</v>
      </c>
      <c r="L23" s="8">
        <v>0.22500000000000001</v>
      </c>
      <c r="M23" s="8">
        <v>0.17899999999999999</v>
      </c>
    </row>
  </sheetData>
  <autoFilter ref="A5:M24" xr:uid="{00000000-0009-0000-0000-000007000000}"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24</v>
      </c>
    </row>
    <row r="2" spans="1:13" ht="45" x14ac:dyDescent="0.3">
      <c r="A2" s="6" t="s">
        <v>4</v>
      </c>
      <c r="B2" s="3" t="s">
        <v>25</v>
      </c>
    </row>
    <row r="3" spans="1:13" x14ac:dyDescent="0.3">
      <c r="A3" s="6" t="s">
        <v>35</v>
      </c>
      <c r="B3" s="3" t="s">
        <v>84</v>
      </c>
    </row>
    <row r="4" spans="1:13" ht="60" x14ac:dyDescent="0.3">
      <c r="A4" s="6" t="s">
        <v>37</v>
      </c>
      <c r="B4" s="3" t="s">
        <v>109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110</v>
      </c>
      <c r="B6" s="5">
        <v>4.07</v>
      </c>
      <c r="C6" s="5">
        <v>4.08</v>
      </c>
      <c r="D6" s="5">
        <v>4.1500000000000004</v>
      </c>
      <c r="E6" s="5">
        <v>4.1399999999999997</v>
      </c>
      <c r="F6" s="5">
        <v>4.28</v>
      </c>
      <c r="G6" s="5">
        <v>4.26</v>
      </c>
      <c r="H6" s="5">
        <v>4.51</v>
      </c>
      <c r="I6" s="5">
        <v>4.18</v>
      </c>
      <c r="J6" s="5">
        <v>4.28</v>
      </c>
      <c r="K6" s="5">
        <v>4.3099999999999996</v>
      </c>
      <c r="L6" s="5">
        <v>3.99</v>
      </c>
      <c r="M6" s="5">
        <v>4.07</v>
      </c>
    </row>
    <row r="7" spans="1:13" x14ac:dyDescent="0.3">
      <c r="A7" s="7" t="s">
        <v>111</v>
      </c>
      <c r="B7" s="5">
        <v>4.0599999999999996</v>
      </c>
      <c r="C7" s="5">
        <v>4.07</v>
      </c>
      <c r="D7" s="5">
        <v>4</v>
      </c>
      <c r="E7" s="5">
        <v>4.16</v>
      </c>
      <c r="F7" s="5">
        <v>4.2699999999999996</v>
      </c>
      <c r="G7" s="5">
        <v>4.32</v>
      </c>
      <c r="H7" s="5">
        <v>4.3600000000000003</v>
      </c>
      <c r="I7" s="5">
        <v>4.04</v>
      </c>
      <c r="J7" s="5">
        <v>4.0999999999999996</v>
      </c>
      <c r="K7" s="5">
        <v>4.3099999999999996</v>
      </c>
      <c r="L7" s="5">
        <v>4.16</v>
      </c>
      <c r="M7" s="5">
        <v>4.07</v>
      </c>
    </row>
    <row r="8" spans="1:13" x14ac:dyDescent="0.3">
      <c r="A8" s="7" t="s">
        <v>112</v>
      </c>
      <c r="B8" s="5">
        <v>4.05</v>
      </c>
      <c r="C8" s="5">
        <v>4.1100000000000003</v>
      </c>
      <c r="D8" s="5">
        <v>3.89</v>
      </c>
      <c r="E8" s="5">
        <v>4.13</v>
      </c>
      <c r="F8" s="5">
        <v>4.1900000000000004</v>
      </c>
      <c r="G8" s="5">
        <v>4.3899999999999997</v>
      </c>
      <c r="H8" s="5">
        <v>4.55</v>
      </c>
      <c r="I8" s="5">
        <v>4.17</v>
      </c>
      <c r="J8" s="5">
        <v>4.0599999999999996</v>
      </c>
      <c r="K8" s="5">
        <v>4.34</v>
      </c>
      <c r="L8" s="5">
        <v>4.16</v>
      </c>
      <c r="M8" s="5">
        <v>4</v>
      </c>
    </row>
    <row r="9" spans="1:13" x14ac:dyDescent="0.3">
      <c r="A9" s="7" t="s">
        <v>113</v>
      </c>
      <c r="B9" s="5">
        <v>4.04</v>
      </c>
      <c r="C9" s="5">
        <v>4.09</v>
      </c>
      <c r="D9" s="5">
        <v>4</v>
      </c>
      <c r="E9" s="5">
        <v>4.21</v>
      </c>
      <c r="F9" s="5">
        <v>4.2300000000000004</v>
      </c>
      <c r="G9" s="5">
        <v>4.2</v>
      </c>
      <c r="H9" s="5">
        <v>4.5</v>
      </c>
      <c r="I9" s="5">
        <v>4.07</v>
      </c>
      <c r="J9" s="5">
        <v>4.0999999999999996</v>
      </c>
      <c r="K9" s="5">
        <v>4.3899999999999997</v>
      </c>
      <c r="L9" s="5">
        <v>3.98</v>
      </c>
      <c r="M9" s="5">
        <v>3.8</v>
      </c>
    </row>
    <row r="10" spans="1:13" x14ac:dyDescent="0.3">
      <c r="A10" s="7" t="s">
        <v>114</v>
      </c>
      <c r="B10" s="5">
        <v>3.95</v>
      </c>
      <c r="C10" s="5">
        <v>4.0999999999999996</v>
      </c>
      <c r="D10" s="5">
        <v>4.03</v>
      </c>
      <c r="E10" s="5">
        <v>4.0999999999999996</v>
      </c>
      <c r="F10" s="5">
        <v>4.2699999999999996</v>
      </c>
      <c r="G10" s="5">
        <v>4.18</v>
      </c>
      <c r="H10" s="5">
        <v>4.43</v>
      </c>
      <c r="I10" s="5">
        <v>4.01</v>
      </c>
      <c r="J10" s="5">
        <v>4</v>
      </c>
      <c r="K10" s="5">
        <v>4.24</v>
      </c>
      <c r="L10" s="5">
        <v>4.07</v>
      </c>
      <c r="M10" s="5">
        <v>3.85</v>
      </c>
    </row>
    <row r="11" spans="1:13" x14ac:dyDescent="0.3">
      <c r="A11" s="7" t="s">
        <v>115</v>
      </c>
      <c r="B11" s="5">
        <v>3.88</v>
      </c>
      <c r="C11" s="5">
        <v>4.0599999999999996</v>
      </c>
      <c r="D11" s="5">
        <v>3.93</v>
      </c>
      <c r="E11" s="5">
        <v>4.0199999999999996</v>
      </c>
      <c r="F11" s="5">
        <v>4.1500000000000004</v>
      </c>
      <c r="G11" s="5">
        <v>4.22</v>
      </c>
      <c r="H11" s="5">
        <v>4.5</v>
      </c>
      <c r="I11" s="5">
        <v>4.03</v>
      </c>
      <c r="J11" s="5">
        <v>3.98</v>
      </c>
      <c r="K11" s="5">
        <v>4.33</v>
      </c>
      <c r="L11" s="5">
        <v>4.01</v>
      </c>
      <c r="M11" s="5">
        <v>3.86</v>
      </c>
    </row>
    <row r="12" spans="1:13" x14ac:dyDescent="0.3">
      <c r="A12" s="7" t="s">
        <v>116</v>
      </c>
      <c r="B12" s="5">
        <v>3.82</v>
      </c>
      <c r="C12" s="5">
        <v>4.07</v>
      </c>
      <c r="D12" s="5">
        <v>3.88</v>
      </c>
      <c r="E12" s="5">
        <v>3.94</v>
      </c>
      <c r="F12" s="5">
        <v>4.16</v>
      </c>
      <c r="G12" s="5">
        <v>4.21</v>
      </c>
      <c r="H12" s="5">
        <v>4.29</v>
      </c>
      <c r="I12" s="5">
        <v>3.97</v>
      </c>
      <c r="J12" s="5">
        <v>3.98</v>
      </c>
      <c r="K12" s="5">
        <v>4.3499999999999996</v>
      </c>
      <c r="L12" s="5">
        <v>4.0599999999999996</v>
      </c>
      <c r="M12" s="5">
        <v>3.81</v>
      </c>
    </row>
    <row r="13" spans="1:13" x14ac:dyDescent="0.3">
      <c r="A13" s="7" t="s">
        <v>117</v>
      </c>
      <c r="B13" s="5">
        <v>3.76</v>
      </c>
      <c r="C13" s="5">
        <v>4.07</v>
      </c>
      <c r="D13" s="5">
        <v>3.81</v>
      </c>
      <c r="E13" s="5">
        <v>3.97</v>
      </c>
      <c r="F13" s="5">
        <v>4.17</v>
      </c>
      <c r="G13" s="5">
        <v>4.1100000000000003</v>
      </c>
      <c r="H13" s="5">
        <v>4.4400000000000004</v>
      </c>
      <c r="I13" s="5">
        <v>3.89</v>
      </c>
      <c r="J13" s="5">
        <v>3.93</v>
      </c>
      <c r="K13" s="5">
        <v>4.2699999999999996</v>
      </c>
      <c r="L13" s="5">
        <v>3.79</v>
      </c>
      <c r="M13" s="5">
        <v>3.68</v>
      </c>
    </row>
    <row r="14" spans="1:13" x14ac:dyDescent="0.3">
      <c r="A14" s="7" t="s">
        <v>118</v>
      </c>
      <c r="B14" s="5">
        <v>3.71</v>
      </c>
      <c r="C14" s="5">
        <v>4.01</v>
      </c>
      <c r="D14" s="5">
        <v>3.69</v>
      </c>
      <c r="E14" s="5">
        <v>3.75</v>
      </c>
      <c r="F14" s="5">
        <v>4.0199999999999996</v>
      </c>
      <c r="G14" s="5">
        <v>4.13</v>
      </c>
      <c r="H14" s="5">
        <v>4.2300000000000004</v>
      </c>
      <c r="I14" s="5">
        <v>3.86</v>
      </c>
      <c r="J14" s="5">
        <v>3.89</v>
      </c>
      <c r="K14" s="5">
        <v>4.17</v>
      </c>
      <c r="L14" s="5">
        <v>3.64</v>
      </c>
      <c r="M14" s="5">
        <v>3.59</v>
      </c>
    </row>
    <row r="15" spans="1:13" x14ac:dyDescent="0.3">
      <c r="A15" s="7" t="s">
        <v>119</v>
      </c>
      <c r="B15" s="5">
        <v>3.24</v>
      </c>
      <c r="C15" s="5">
        <v>3.87</v>
      </c>
      <c r="D15" s="5">
        <v>3.39</v>
      </c>
      <c r="E15" s="5">
        <v>3.45</v>
      </c>
      <c r="F15" s="5">
        <v>3.73</v>
      </c>
      <c r="G15" s="5">
        <v>4.0199999999999996</v>
      </c>
      <c r="H15" s="5">
        <v>4.13</v>
      </c>
      <c r="I15" s="5">
        <v>3.55</v>
      </c>
      <c r="J15" s="5">
        <v>3.73</v>
      </c>
      <c r="K15" s="5">
        <v>3.87</v>
      </c>
      <c r="L15" s="5">
        <v>3.44</v>
      </c>
      <c r="M15" s="5">
        <v>3.23</v>
      </c>
    </row>
    <row r="16" spans="1:13" x14ac:dyDescent="0.3">
      <c r="A16" s="9" t="s">
        <v>54</v>
      </c>
      <c r="B16" s="5">
        <v>3.86</v>
      </c>
      <c r="C16" s="5">
        <v>4.05</v>
      </c>
      <c r="D16" s="5">
        <v>3.88</v>
      </c>
      <c r="E16" s="5">
        <v>3.98</v>
      </c>
      <c r="F16" s="5">
        <v>4.1500000000000004</v>
      </c>
      <c r="G16" s="5">
        <v>4.2</v>
      </c>
      <c r="H16" s="5">
        <v>4.3899999999999997</v>
      </c>
      <c r="I16" s="5">
        <v>3.98</v>
      </c>
      <c r="J16" s="5">
        <v>4</v>
      </c>
      <c r="K16" s="5">
        <v>4.26</v>
      </c>
      <c r="L16" s="5">
        <v>3.93</v>
      </c>
      <c r="M16" s="5">
        <v>3.8</v>
      </c>
    </row>
    <row r="17" spans="1:13" x14ac:dyDescent="0.3">
      <c r="A17" s="9" t="s">
        <v>120</v>
      </c>
      <c r="B17" s="5">
        <f t="shared" ref="B17:M17" si="0">AVERAGE(B6:B15)</f>
        <v>3.8579999999999997</v>
      </c>
      <c r="C17" s="5">
        <f t="shared" si="0"/>
        <v>4.0529999999999999</v>
      </c>
      <c r="D17" s="5">
        <f t="shared" si="0"/>
        <v>3.8769999999999998</v>
      </c>
      <c r="E17" s="5">
        <f t="shared" si="0"/>
        <v>3.9870000000000005</v>
      </c>
      <c r="F17" s="5">
        <f t="shared" si="0"/>
        <v>4.1469999999999994</v>
      </c>
      <c r="G17" s="5">
        <f t="shared" si="0"/>
        <v>4.2040000000000006</v>
      </c>
      <c r="H17" s="5">
        <f t="shared" si="0"/>
        <v>4.3940000000000001</v>
      </c>
      <c r="I17" s="5">
        <f t="shared" si="0"/>
        <v>3.9769999999999994</v>
      </c>
      <c r="J17" s="5">
        <f t="shared" si="0"/>
        <v>4.0049999999999999</v>
      </c>
      <c r="K17" s="5">
        <f t="shared" si="0"/>
        <v>4.2579999999999991</v>
      </c>
      <c r="L17" s="5">
        <f t="shared" si="0"/>
        <v>3.9299999999999997</v>
      </c>
      <c r="M17" s="5">
        <f t="shared" si="0"/>
        <v>3.7960000000000003</v>
      </c>
    </row>
    <row r="18" spans="1:13" x14ac:dyDescent="0.3">
      <c r="A18" s="9" t="s">
        <v>56</v>
      </c>
      <c r="B18" s="5">
        <f t="shared" ref="B18:M18" si="1">B17-B16</f>
        <v>-2.0000000000002238E-3</v>
      </c>
      <c r="C18" s="5">
        <f t="shared" si="1"/>
        <v>3.0000000000001137E-3</v>
      </c>
      <c r="D18" s="5">
        <f t="shared" si="1"/>
        <v>-3.0000000000001137E-3</v>
      </c>
      <c r="E18" s="5">
        <f t="shared" si="1"/>
        <v>7.0000000000005613E-3</v>
      </c>
      <c r="F18" s="5">
        <f t="shared" si="1"/>
        <v>-3.0000000000010019E-3</v>
      </c>
      <c r="G18" s="5">
        <f t="shared" si="1"/>
        <v>4.0000000000004476E-3</v>
      </c>
      <c r="H18" s="5">
        <f t="shared" si="1"/>
        <v>4.0000000000004476E-3</v>
      </c>
      <c r="I18" s="5">
        <f t="shared" si="1"/>
        <v>-3.0000000000005578E-3</v>
      </c>
      <c r="J18" s="5">
        <f t="shared" si="1"/>
        <v>4.9999999999998934E-3</v>
      </c>
      <c r="K18" s="5">
        <f t="shared" si="1"/>
        <v>-2.0000000000006679E-3</v>
      </c>
      <c r="L18" s="5">
        <f t="shared" si="1"/>
        <v>0</v>
      </c>
      <c r="M18" s="5">
        <f t="shared" si="1"/>
        <v>-3.9999999999995595E-3</v>
      </c>
    </row>
  </sheetData>
  <autoFilter ref="A5:M16" xr:uid="{00000000-0009-0000-0000-000008000000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27</v>
      </c>
    </row>
    <row r="2" spans="1:13" ht="45" x14ac:dyDescent="0.3">
      <c r="A2" s="6" t="s">
        <v>4</v>
      </c>
      <c r="B2" s="3" t="s">
        <v>28</v>
      </c>
    </row>
    <row r="3" spans="1:13" x14ac:dyDescent="0.3">
      <c r="A3" s="6" t="s">
        <v>35</v>
      </c>
      <c r="B3" s="3" t="s">
        <v>36</v>
      </c>
    </row>
    <row r="4" spans="1:13" ht="75" x14ac:dyDescent="0.3">
      <c r="A4" s="6" t="s">
        <v>69</v>
      </c>
      <c r="B4" s="3" t="s">
        <v>70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121</v>
      </c>
      <c r="B6" s="8">
        <v>0.252</v>
      </c>
      <c r="C6" s="8">
        <v>0.27700000000000002</v>
      </c>
      <c r="D6" s="8">
        <v>0.36699999999999999</v>
      </c>
      <c r="E6" s="8">
        <v>0.35099999999999998</v>
      </c>
      <c r="F6" s="8">
        <v>0.42099999999999999</v>
      </c>
      <c r="G6" s="8">
        <v>0.374</v>
      </c>
      <c r="H6" s="8">
        <v>0.4</v>
      </c>
      <c r="I6" s="8">
        <v>0.33700000000000002</v>
      </c>
      <c r="J6" s="8">
        <v>0.34699999999999998</v>
      </c>
      <c r="K6" s="8">
        <v>0.42899999999999999</v>
      </c>
      <c r="L6" s="8">
        <v>0.29499999999999998</v>
      </c>
      <c r="M6" s="8">
        <v>0.27800000000000002</v>
      </c>
    </row>
    <row r="7" spans="1:13" x14ac:dyDescent="0.3">
      <c r="A7" s="7" t="s">
        <v>122</v>
      </c>
      <c r="B7" s="8">
        <v>0.19700000000000001</v>
      </c>
      <c r="C7" s="8">
        <v>0.22</v>
      </c>
      <c r="D7" s="8">
        <v>0.31</v>
      </c>
      <c r="E7" s="8">
        <v>0.26300000000000001</v>
      </c>
      <c r="F7" s="8">
        <v>0.33400000000000002</v>
      </c>
      <c r="G7" s="8">
        <v>0.376</v>
      </c>
      <c r="H7" s="8">
        <v>0.34100000000000003</v>
      </c>
      <c r="I7" s="8">
        <v>0.25</v>
      </c>
      <c r="J7" s="8">
        <v>0.253</v>
      </c>
      <c r="K7" s="8">
        <v>0.35099999999999998</v>
      </c>
      <c r="L7" s="8">
        <v>0.186</v>
      </c>
      <c r="M7" s="8">
        <v>0.246</v>
      </c>
    </row>
    <row r="8" spans="1:13" x14ac:dyDescent="0.3">
      <c r="A8" s="7" t="s">
        <v>123</v>
      </c>
      <c r="B8" s="8">
        <v>0.20300000000000001</v>
      </c>
      <c r="C8" s="8">
        <v>0.17899999999999999</v>
      </c>
      <c r="D8" s="8">
        <v>0.22700000000000001</v>
      </c>
      <c r="E8" s="8">
        <v>0.30099999999999999</v>
      </c>
      <c r="F8" s="8">
        <v>0.317</v>
      </c>
      <c r="G8" s="8">
        <v>0.38800000000000001</v>
      </c>
      <c r="H8" s="8">
        <v>0.38800000000000001</v>
      </c>
      <c r="I8" s="8">
        <v>0.26400000000000001</v>
      </c>
      <c r="J8" s="8">
        <v>0.30299999999999999</v>
      </c>
      <c r="K8" s="8">
        <v>0.41399999999999998</v>
      </c>
      <c r="L8" s="8">
        <v>0.35899999999999999</v>
      </c>
      <c r="M8" s="8">
        <v>0.32700000000000001</v>
      </c>
    </row>
    <row r="9" spans="1:13" ht="30" x14ac:dyDescent="0.3">
      <c r="A9" s="7" t="s">
        <v>124</v>
      </c>
      <c r="B9" s="8">
        <v>0.152</v>
      </c>
      <c r="C9" s="8">
        <v>0.255</v>
      </c>
      <c r="D9" s="8">
        <v>0.22500000000000001</v>
      </c>
      <c r="E9" s="8">
        <v>0.19700000000000001</v>
      </c>
      <c r="F9" s="8">
        <v>0.29199999999999998</v>
      </c>
      <c r="G9" s="8">
        <v>0.33600000000000002</v>
      </c>
      <c r="H9" s="8">
        <v>0.253</v>
      </c>
      <c r="I9" s="8">
        <v>0.191</v>
      </c>
      <c r="J9" s="8">
        <v>0.218</v>
      </c>
      <c r="K9" s="8">
        <v>0.32</v>
      </c>
      <c r="L9" s="8">
        <v>0.16700000000000001</v>
      </c>
      <c r="M9" s="8">
        <v>0.17299999999999999</v>
      </c>
    </row>
    <row r="10" spans="1:13" ht="30" x14ac:dyDescent="0.3">
      <c r="A10" s="7" t="s">
        <v>125</v>
      </c>
      <c r="B10" s="8">
        <v>0.21199999999999999</v>
      </c>
      <c r="C10" s="8">
        <v>0.22800000000000001</v>
      </c>
      <c r="D10" s="8">
        <v>0.36399999999999999</v>
      </c>
      <c r="E10" s="8">
        <v>0.307</v>
      </c>
      <c r="F10" s="8">
        <v>0.35699999999999998</v>
      </c>
      <c r="G10" s="8">
        <v>0.371</v>
      </c>
      <c r="H10" s="8">
        <v>0.35299999999999998</v>
      </c>
      <c r="I10" s="8">
        <v>0.26400000000000001</v>
      </c>
      <c r="J10" s="8">
        <v>0.29099999999999998</v>
      </c>
      <c r="K10" s="8">
        <v>0.39700000000000002</v>
      </c>
      <c r="L10" s="8">
        <v>0.183</v>
      </c>
      <c r="M10" s="8">
        <v>0.183</v>
      </c>
    </row>
    <row r="11" spans="1:13" x14ac:dyDescent="0.3">
      <c r="A11" s="7" t="s">
        <v>126</v>
      </c>
      <c r="B11" s="8">
        <v>0.185</v>
      </c>
      <c r="C11" s="8">
        <v>0.19600000000000001</v>
      </c>
      <c r="D11" s="8">
        <v>0.26</v>
      </c>
      <c r="E11" s="8">
        <v>0.249</v>
      </c>
      <c r="F11" s="8">
        <v>0.32</v>
      </c>
      <c r="G11" s="8">
        <v>0.307</v>
      </c>
      <c r="H11" s="8">
        <v>0.28799999999999998</v>
      </c>
      <c r="I11" s="8">
        <v>0.22</v>
      </c>
      <c r="J11" s="8">
        <v>0.25</v>
      </c>
      <c r="K11" s="8">
        <v>0.28899999999999998</v>
      </c>
      <c r="L11" s="8">
        <v>0.20499999999999999</v>
      </c>
      <c r="M11" s="8">
        <v>0.22500000000000001</v>
      </c>
    </row>
    <row r="12" spans="1:13" x14ac:dyDescent="0.3">
      <c r="A12" s="7" t="s">
        <v>127</v>
      </c>
      <c r="B12" s="8">
        <v>0.14799999999999999</v>
      </c>
      <c r="C12" s="8">
        <v>0.20100000000000001</v>
      </c>
      <c r="D12" s="8">
        <v>0.23</v>
      </c>
      <c r="E12" s="8">
        <v>0.23</v>
      </c>
      <c r="F12" s="8">
        <v>0.27800000000000002</v>
      </c>
      <c r="G12" s="8">
        <v>0.31</v>
      </c>
      <c r="H12" s="8">
        <v>0.23799999999999999</v>
      </c>
      <c r="I12" s="8">
        <v>0.20200000000000001</v>
      </c>
      <c r="J12" s="8">
        <v>0.20599999999999999</v>
      </c>
      <c r="K12" s="8">
        <v>0.26900000000000002</v>
      </c>
      <c r="L12" s="8">
        <v>0.17</v>
      </c>
      <c r="M12" s="8">
        <v>0.20399999999999999</v>
      </c>
    </row>
    <row r="13" spans="1:13" x14ac:dyDescent="0.3">
      <c r="A13" s="7" t="s">
        <v>128</v>
      </c>
      <c r="B13" s="8">
        <v>0.28499999999999998</v>
      </c>
      <c r="C13" s="8">
        <v>0.182</v>
      </c>
      <c r="D13" s="8">
        <v>0.36199999999999999</v>
      </c>
      <c r="E13" s="8">
        <v>0.34200000000000003</v>
      </c>
      <c r="F13" s="8">
        <v>0.35099999999999998</v>
      </c>
      <c r="G13" s="8">
        <v>0.35099999999999998</v>
      </c>
      <c r="H13" s="8">
        <v>0.40300000000000002</v>
      </c>
      <c r="I13" s="8">
        <v>0.26700000000000002</v>
      </c>
      <c r="J13" s="8">
        <v>0.312</v>
      </c>
      <c r="K13" s="8">
        <v>0.35699999999999998</v>
      </c>
      <c r="L13" s="8">
        <v>0.192</v>
      </c>
      <c r="M13" s="8">
        <v>0.20399999999999999</v>
      </c>
    </row>
    <row r="14" spans="1:13" x14ac:dyDescent="0.3">
      <c r="A14" s="7" t="s">
        <v>129</v>
      </c>
      <c r="B14" s="8">
        <v>0.20899999999999999</v>
      </c>
      <c r="C14" s="8">
        <v>0.20899999999999999</v>
      </c>
      <c r="D14" s="8">
        <v>0.27400000000000002</v>
      </c>
      <c r="E14" s="8">
        <v>0.32100000000000001</v>
      </c>
      <c r="F14" s="8">
        <v>0.33700000000000002</v>
      </c>
      <c r="G14" s="8">
        <v>0.374</v>
      </c>
      <c r="H14" s="8">
        <v>0.309</v>
      </c>
      <c r="I14" s="8">
        <v>0.22800000000000001</v>
      </c>
      <c r="J14" s="8">
        <v>0.26200000000000001</v>
      </c>
      <c r="K14" s="8">
        <v>0.32</v>
      </c>
      <c r="L14" s="8">
        <v>0.27200000000000002</v>
      </c>
      <c r="M14" s="8">
        <v>0.31</v>
      </c>
    </row>
    <row r="15" spans="1:13" ht="30" x14ac:dyDescent="0.3">
      <c r="A15" s="7" t="s">
        <v>130</v>
      </c>
      <c r="B15" s="8">
        <v>0.14199999999999999</v>
      </c>
      <c r="C15" s="8">
        <v>0.22</v>
      </c>
      <c r="D15" s="8">
        <v>0.219</v>
      </c>
      <c r="E15" s="8">
        <v>0.17</v>
      </c>
      <c r="F15" s="8">
        <v>0.253</v>
      </c>
      <c r="G15" s="8">
        <v>0.27</v>
      </c>
      <c r="H15" s="8">
        <v>0.25600000000000001</v>
      </c>
      <c r="I15" s="8">
        <v>0.21299999999999999</v>
      </c>
      <c r="J15" s="8">
        <v>0.16800000000000001</v>
      </c>
      <c r="K15" s="8">
        <v>0.28299999999999997</v>
      </c>
      <c r="L15" s="8">
        <v>0.16300000000000001</v>
      </c>
      <c r="M15" s="8">
        <v>0.17299999999999999</v>
      </c>
    </row>
    <row r="16" spans="1:13" x14ac:dyDescent="0.3">
      <c r="A16" s="7" t="s">
        <v>131</v>
      </c>
      <c r="B16" s="8">
        <v>0.124</v>
      </c>
      <c r="C16" s="8">
        <v>0.215</v>
      </c>
      <c r="D16" s="8">
        <v>0.249</v>
      </c>
      <c r="E16" s="8">
        <v>0.25800000000000001</v>
      </c>
      <c r="F16" s="8">
        <v>0.35099999999999998</v>
      </c>
      <c r="G16" s="8">
        <v>0.35099999999999998</v>
      </c>
      <c r="H16" s="8">
        <v>0.33500000000000002</v>
      </c>
      <c r="I16" s="8">
        <v>0.27</v>
      </c>
      <c r="J16" s="8">
        <v>0.25900000000000001</v>
      </c>
      <c r="K16" s="8">
        <v>0.32600000000000001</v>
      </c>
      <c r="L16" s="8">
        <v>0.26300000000000001</v>
      </c>
      <c r="M16" s="8">
        <v>0.23200000000000001</v>
      </c>
    </row>
    <row r="17" spans="1:13" ht="30" x14ac:dyDescent="0.3">
      <c r="A17" s="7" t="s">
        <v>132</v>
      </c>
      <c r="B17" s="8">
        <v>0.26100000000000001</v>
      </c>
      <c r="C17" s="8">
        <v>0.253</v>
      </c>
      <c r="D17" s="8">
        <v>0.34200000000000003</v>
      </c>
      <c r="E17" s="8">
        <v>0.34499999999999997</v>
      </c>
      <c r="F17" s="8">
        <v>0.38200000000000001</v>
      </c>
      <c r="G17" s="8">
        <v>0.39400000000000002</v>
      </c>
      <c r="H17" s="8">
        <v>0.35599999999999998</v>
      </c>
      <c r="I17" s="8">
        <v>0.22800000000000001</v>
      </c>
      <c r="J17" s="8">
        <v>0.28799999999999998</v>
      </c>
      <c r="K17" s="8">
        <v>0.34899999999999998</v>
      </c>
      <c r="L17" s="8">
        <v>0.25</v>
      </c>
      <c r="M17" s="8">
        <v>0.19400000000000001</v>
      </c>
    </row>
    <row r="18" spans="1:13" x14ac:dyDescent="0.3">
      <c r="A18" s="7" t="s">
        <v>133</v>
      </c>
      <c r="B18" s="8">
        <v>0.33300000000000002</v>
      </c>
      <c r="C18" s="8">
        <v>0.217</v>
      </c>
      <c r="D18" s="8">
        <v>0.37</v>
      </c>
      <c r="E18" s="8">
        <v>0.47099999999999997</v>
      </c>
      <c r="F18" s="8">
        <v>0.41299999999999998</v>
      </c>
      <c r="G18" s="8">
        <v>0.39400000000000002</v>
      </c>
      <c r="H18" s="8">
        <v>0.41199999999999998</v>
      </c>
      <c r="I18" s="8">
        <v>0.36199999999999999</v>
      </c>
      <c r="J18" s="8">
        <v>0.39400000000000002</v>
      </c>
      <c r="K18" s="8">
        <v>0.43099999999999999</v>
      </c>
      <c r="L18" s="8">
        <v>0.39100000000000001</v>
      </c>
      <c r="M18" s="8">
        <v>0.34200000000000003</v>
      </c>
    </row>
    <row r="19" spans="1:13" x14ac:dyDescent="0.3">
      <c r="A19" s="7" t="s">
        <v>134</v>
      </c>
      <c r="B19" s="8">
        <v>0.13300000000000001</v>
      </c>
      <c r="C19" s="8">
        <v>0.217</v>
      </c>
      <c r="D19" s="8">
        <v>0.21099999999999999</v>
      </c>
      <c r="E19" s="8">
        <v>0.192</v>
      </c>
      <c r="F19" s="8">
        <v>0.27200000000000002</v>
      </c>
      <c r="G19" s="8">
        <v>0.29599999999999999</v>
      </c>
      <c r="H19" s="8">
        <v>0.25</v>
      </c>
      <c r="I19" s="8">
        <v>0.20200000000000001</v>
      </c>
      <c r="J19" s="8">
        <v>0.215</v>
      </c>
      <c r="K19" s="8">
        <v>0.317</v>
      </c>
      <c r="L19" s="8">
        <v>0.23699999999999999</v>
      </c>
      <c r="M19" s="8">
        <v>0.17299999999999999</v>
      </c>
    </row>
    <row r="20" spans="1:13" x14ac:dyDescent="0.3">
      <c r="A20" s="7" t="s">
        <v>135</v>
      </c>
      <c r="B20" s="8">
        <v>0.19700000000000001</v>
      </c>
      <c r="C20" s="8">
        <v>0.23400000000000001</v>
      </c>
      <c r="D20" s="8">
        <v>0.36699999999999999</v>
      </c>
      <c r="E20" s="8">
        <v>0.40300000000000002</v>
      </c>
      <c r="F20" s="8">
        <v>0.32900000000000001</v>
      </c>
      <c r="G20" s="8">
        <v>0.371</v>
      </c>
      <c r="H20" s="8">
        <v>0.34100000000000003</v>
      </c>
      <c r="I20" s="8">
        <v>0.33700000000000002</v>
      </c>
      <c r="J20" s="8">
        <v>0.32400000000000001</v>
      </c>
      <c r="K20" s="8">
        <v>0.36</v>
      </c>
      <c r="L20" s="8">
        <v>0.32100000000000001</v>
      </c>
      <c r="M20" s="8">
        <v>0.31</v>
      </c>
    </row>
    <row r="21" spans="1:13" x14ac:dyDescent="0.3">
      <c r="A21" s="7" t="s">
        <v>136</v>
      </c>
      <c r="B21" s="8">
        <v>0.17</v>
      </c>
      <c r="C21" s="8">
        <v>0.185</v>
      </c>
      <c r="D21" s="8">
        <v>0.32900000000000001</v>
      </c>
      <c r="E21" s="8">
        <v>0.30399999999999999</v>
      </c>
      <c r="F21" s="8">
        <v>0.32900000000000001</v>
      </c>
      <c r="G21" s="8">
        <v>0.36199999999999999</v>
      </c>
      <c r="H21" s="8">
        <v>0.309</v>
      </c>
      <c r="I21" s="8">
        <v>0.23300000000000001</v>
      </c>
      <c r="J21" s="8">
        <v>0.26800000000000002</v>
      </c>
      <c r="K21" s="8">
        <v>0.311</v>
      </c>
      <c r="L21" s="8">
        <v>0.21199999999999999</v>
      </c>
      <c r="M21" s="8">
        <v>0.23200000000000001</v>
      </c>
    </row>
    <row r="22" spans="1:13" x14ac:dyDescent="0.3">
      <c r="A22" s="7" t="s">
        <v>137</v>
      </c>
      <c r="B22" s="8">
        <v>0.27</v>
      </c>
      <c r="C22" s="8">
        <v>0.22</v>
      </c>
      <c r="D22" s="8">
        <v>0.37</v>
      </c>
      <c r="E22" s="8">
        <v>0.44700000000000001</v>
      </c>
      <c r="F22" s="8">
        <v>0.376</v>
      </c>
      <c r="G22" s="8">
        <v>0.39400000000000002</v>
      </c>
      <c r="H22" s="8">
        <v>0.43200000000000011</v>
      </c>
      <c r="I22" s="8">
        <v>0.36499999999999999</v>
      </c>
      <c r="J22" s="8">
        <v>0.312</v>
      </c>
      <c r="K22" s="8">
        <v>0.42599999999999999</v>
      </c>
      <c r="L22" s="8">
        <v>0.39400000000000002</v>
      </c>
      <c r="M22" s="8">
        <v>0.36599999999999999</v>
      </c>
    </row>
    <row r="23" spans="1:13" x14ac:dyDescent="0.3">
      <c r="A23" s="7" t="s">
        <v>138</v>
      </c>
      <c r="B23" s="8">
        <v>0.309</v>
      </c>
      <c r="C23" s="8">
        <v>0.23899999999999999</v>
      </c>
      <c r="D23" s="8">
        <v>0.30399999999999999</v>
      </c>
      <c r="E23" s="8">
        <v>0.33700000000000002</v>
      </c>
      <c r="F23" s="8">
        <v>0.36499999999999999</v>
      </c>
      <c r="G23" s="8">
        <v>0.39900000000000002</v>
      </c>
      <c r="H23" s="8">
        <v>0.38800000000000001</v>
      </c>
      <c r="I23" s="8">
        <v>0.32300000000000001</v>
      </c>
      <c r="J23" s="8">
        <v>0.25600000000000001</v>
      </c>
      <c r="K23" s="8">
        <v>0.39100000000000001</v>
      </c>
      <c r="L23" s="8">
        <v>0.192</v>
      </c>
      <c r="M23" s="8">
        <v>0.23599999999999999</v>
      </c>
    </row>
    <row r="24" spans="1:13" x14ac:dyDescent="0.3">
      <c r="A24" s="7" t="s">
        <v>139</v>
      </c>
      <c r="B24" s="8">
        <v>0.27300000000000002</v>
      </c>
      <c r="C24" s="8">
        <v>0.182</v>
      </c>
      <c r="D24" s="8">
        <v>0.39700000000000002</v>
      </c>
      <c r="E24" s="8">
        <v>0.41099999999999998</v>
      </c>
      <c r="F24" s="8">
        <v>0.36</v>
      </c>
      <c r="G24" s="8">
        <v>0.40799999999999997</v>
      </c>
      <c r="H24" s="8">
        <v>0.39700000000000002</v>
      </c>
      <c r="I24" s="8">
        <v>0.34599999999999997</v>
      </c>
      <c r="J24" s="8">
        <v>0.35899999999999999</v>
      </c>
      <c r="K24" s="8">
        <v>0.38600000000000001</v>
      </c>
      <c r="L24" s="8">
        <v>0.33700000000000002</v>
      </c>
      <c r="M24" s="8">
        <v>0.30599999999999999</v>
      </c>
    </row>
    <row r="25" spans="1:13" x14ac:dyDescent="0.3">
      <c r="A25" s="7" t="s">
        <v>140</v>
      </c>
      <c r="B25" s="8">
        <v>0.33</v>
      </c>
      <c r="C25" s="8">
        <v>0.23899999999999999</v>
      </c>
      <c r="D25" s="8">
        <v>0.51500000000000001</v>
      </c>
      <c r="E25" s="8">
        <v>0.50700000000000001</v>
      </c>
      <c r="F25" s="8">
        <v>0.39900000000000002</v>
      </c>
      <c r="G25" s="8">
        <v>0.48899999999999999</v>
      </c>
      <c r="H25" s="8">
        <v>0.47099999999999997</v>
      </c>
      <c r="I25" s="8">
        <v>0.42699999999999999</v>
      </c>
      <c r="J25" s="8">
        <v>0.45600000000000002</v>
      </c>
      <c r="K25" s="8">
        <v>0.44900000000000001</v>
      </c>
      <c r="L25" s="8">
        <v>0.41699999999999998</v>
      </c>
      <c r="M25" s="8">
        <v>0.377</v>
      </c>
    </row>
    <row r="26" spans="1:13" x14ac:dyDescent="0.3">
      <c r="A26" s="7" t="s">
        <v>141</v>
      </c>
      <c r="B26" s="8">
        <v>0.127</v>
      </c>
      <c r="C26" s="8">
        <v>0.20100000000000001</v>
      </c>
      <c r="D26" s="8">
        <v>0.20799999999999999</v>
      </c>
      <c r="E26" s="8">
        <v>0.189</v>
      </c>
      <c r="F26" s="8">
        <v>0.28899999999999998</v>
      </c>
      <c r="G26" s="8">
        <v>0.40500000000000003</v>
      </c>
      <c r="H26" s="8">
        <v>0.318</v>
      </c>
      <c r="I26" s="8">
        <v>0.219</v>
      </c>
      <c r="J26" s="8">
        <v>0.20300000000000001</v>
      </c>
      <c r="K26" s="8">
        <v>0.30299999999999999</v>
      </c>
      <c r="L26" s="8">
        <v>0.16700000000000001</v>
      </c>
      <c r="M26" s="8">
        <v>0.17599999999999999</v>
      </c>
    </row>
  </sheetData>
  <autoFilter ref="A5:M27" xr:uid="{00000000-0009-0000-0000-000009000000}"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30</v>
      </c>
    </row>
    <row r="2" spans="1:13" ht="45" x14ac:dyDescent="0.3">
      <c r="A2" s="6" t="s">
        <v>4</v>
      </c>
      <c r="B2" s="3" t="s">
        <v>31</v>
      </c>
    </row>
    <row r="3" spans="1:13" x14ac:dyDescent="0.3">
      <c r="A3" s="6" t="s">
        <v>35</v>
      </c>
      <c r="B3" s="3" t="s">
        <v>36</v>
      </c>
    </row>
    <row r="4" spans="1:13" ht="60" x14ac:dyDescent="0.3">
      <c r="A4" s="6" t="s">
        <v>37</v>
      </c>
      <c r="B4" s="3" t="s">
        <v>38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30" x14ac:dyDescent="0.3">
      <c r="A6" s="7" t="s">
        <v>142</v>
      </c>
      <c r="B6" s="8">
        <v>0.02</v>
      </c>
      <c r="C6" s="8">
        <v>5.5E-2</v>
      </c>
      <c r="D6" s="8">
        <v>4.8000000000000001E-2</v>
      </c>
      <c r="E6" s="8">
        <v>0.01</v>
      </c>
      <c r="F6" s="8">
        <v>5.8000000000000003E-2</v>
      </c>
      <c r="G6" s="8">
        <v>9.3000000000000013E-2</v>
      </c>
      <c r="H6" s="8">
        <v>5.5E-2</v>
      </c>
      <c r="I6" s="8">
        <v>7.8E-2</v>
      </c>
      <c r="J6" s="8">
        <v>6.5000000000000002E-2</v>
      </c>
      <c r="K6" s="8">
        <v>7.4999999999999997E-2</v>
      </c>
      <c r="L6" s="8">
        <v>4.2999999999999997E-2</v>
      </c>
      <c r="M6" s="8">
        <v>4.2999999999999997E-2</v>
      </c>
    </row>
    <row r="7" spans="1:13" ht="30" x14ac:dyDescent="0.3">
      <c r="A7" s="7" t="s">
        <v>143</v>
      </c>
      <c r="B7" s="8">
        <v>0.06</v>
      </c>
      <c r="C7" s="8">
        <v>0.155</v>
      </c>
      <c r="D7" s="8">
        <v>4.8000000000000001E-2</v>
      </c>
      <c r="E7" s="8">
        <v>3.7999999999999999E-2</v>
      </c>
      <c r="F7" s="8">
        <v>8.8000000000000009E-2</v>
      </c>
      <c r="G7" s="8">
        <v>9.8000000000000004E-2</v>
      </c>
      <c r="H7" s="8">
        <v>0.1</v>
      </c>
      <c r="I7" s="8">
        <v>8.5000000000000006E-2</v>
      </c>
      <c r="J7" s="8">
        <v>0.09</v>
      </c>
      <c r="K7" s="8">
        <v>0.11</v>
      </c>
      <c r="L7" s="8">
        <v>7.0000000000000007E-2</v>
      </c>
      <c r="M7" s="8">
        <v>0.105</v>
      </c>
    </row>
    <row r="8" spans="1:13" x14ac:dyDescent="0.3">
      <c r="A8" s="7" t="s">
        <v>144</v>
      </c>
      <c r="B8" s="8">
        <v>9.3000000000000013E-2</v>
      </c>
      <c r="C8" s="8">
        <v>0.19</v>
      </c>
      <c r="D8" s="8">
        <v>0.13</v>
      </c>
      <c r="E8" s="8">
        <v>6.8000000000000005E-2</v>
      </c>
      <c r="F8" s="8">
        <v>0.125</v>
      </c>
      <c r="G8" s="8">
        <v>0.14499999999999999</v>
      </c>
      <c r="H8" s="8">
        <v>9.8000000000000004E-2</v>
      </c>
      <c r="I8" s="8">
        <v>0.123</v>
      </c>
      <c r="J8" s="8">
        <v>9.5000000000000001E-2</v>
      </c>
      <c r="K8" s="8">
        <v>0.125</v>
      </c>
      <c r="L8" s="8">
        <v>0.09</v>
      </c>
      <c r="M8" s="8">
        <v>5.5E-2</v>
      </c>
    </row>
    <row r="9" spans="1:13" x14ac:dyDescent="0.3">
      <c r="A9" s="7" t="s">
        <v>145</v>
      </c>
      <c r="B9" s="8">
        <v>0.215</v>
      </c>
      <c r="C9" s="8">
        <v>0.17499999999999999</v>
      </c>
      <c r="D9" s="8">
        <v>0.248</v>
      </c>
      <c r="E9" s="8">
        <v>0.20300000000000001</v>
      </c>
      <c r="F9" s="8">
        <v>0.16800000000000001</v>
      </c>
      <c r="G9" s="8">
        <v>0.22</v>
      </c>
      <c r="H9" s="8">
        <v>0.17799999999999999</v>
      </c>
      <c r="I9" s="8">
        <v>0.18</v>
      </c>
      <c r="J9" s="8">
        <v>0.14299999999999999</v>
      </c>
      <c r="K9" s="8">
        <v>0.19500000000000001</v>
      </c>
      <c r="L9" s="8">
        <v>0.13800000000000001</v>
      </c>
      <c r="M9" s="8">
        <v>0.13</v>
      </c>
    </row>
    <row r="10" spans="1:13" x14ac:dyDescent="0.3">
      <c r="A10" s="7" t="s">
        <v>146</v>
      </c>
      <c r="B10" s="8">
        <v>0.28000000000000003</v>
      </c>
      <c r="C10" s="8">
        <v>0.20799999999999999</v>
      </c>
      <c r="D10" s="8">
        <v>0.22500000000000001</v>
      </c>
      <c r="E10" s="8">
        <v>0.248</v>
      </c>
      <c r="F10" s="8">
        <v>0.23</v>
      </c>
      <c r="G10" s="8">
        <v>0.22500000000000001</v>
      </c>
      <c r="H10" s="8">
        <v>0.20300000000000001</v>
      </c>
      <c r="I10" s="8">
        <v>0.20799999999999999</v>
      </c>
      <c r="J10" s="8">
        <v>0.17299999999999999</v>
      </c>
      <c r="K10" s="8">
        <v>0.20499999999999999</v>
      </c>
      <c r="L10" s="8">
        <v>0.2</v>
      </c>
      <c r="M10" s="8">
        <v>0.21299999999999999</v>
      </c>
    </row>
    <row r="11" spans="1:13" x14ac:dyDescent="0.3">
      <c r="A11" s="7" t="s">
        <v>147</v>
      </c>
      <c r="B11" s="8">
        <v>0.19500000000000001</v>
      </c>
      <c r="C11" s="8">
        <v>0.14000000000000001</v>
      </c>
      <c r="D11" s="8">
        <v>0.223</v>
      </c>
      <c r="E11" s="8">
        <v>0.24299999999999999</v>
      </c>
      <c r="F11" s="8">
        <v>0.20799999999999999</v>
      </c>
      <c r="G11" s="8">
        <v>0.16</v>
      </c>
      <c r="H11" s="8">
        <v>0.183</v>
      </c>
      <c r="I11" s="8">
        <v>0.19800000000000001</v>
      </c>
      <c r="J11" s="8">
        <v>0.2</v>
      </c>
      <c r="K11" s="8">
        <v>0.17799999999999999</v>
      </c>
      <c r="L11" s="8">
        <v>0.20499999999999999</v>
      </c>
      <c r="M11" s="8">
        <v>0.22800000000000001</v>
      </c>
    </row>
    <row r="12" spans="1:13" x14ac:dyDescent="0.3">
      <c r="A12" s="7" t="s">
        <v>148</v>
      </c>
      <c r="B12" s="8">
        <v>0.13800000000000001</v>
      </c>
      <c r="C12" s="8">
        <v>7.8E-2</v>
      </c>
      <c r="D12" s="8">
        <v>0.08</v>
      </c>
      <c r="E12" s="8">
        <v>0.193</v>
      </c>
      <c r="F12" s="8">
        <v>0.125</v>
      </c>
      <c r="G12" s="8">
        <v>0.06</v>
      </c>
      <c r="H12" s="8">
        <v>0.185</v>
      </c>
      <c r="I12" s="8">
        <v>0.13</v>
      </c>
      <c r="J12" s="8">
        <v>0.23499999999999999</v>
      </c>
      <c r="K12" s="8">
        <v>0.113</v>
      </c>
      <c r="L12" s="8">
        <v>0.255</v>
      </c>
      <c r="M12" s="8">
        <v>0.22800000000000001</v>
      </c>
    </row>
    <row r="13" spans="1:13" x14ac:dyDescent="0.3">
      <c r="A13" s="9" t="s">
        <v>54</v>
      </c>
      <c r="B13" s="8">
        <v>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</row>
    <row r="14" spans="1:13" x14ac:dyDescent="0.3">
      <c r="A14" s="9" t="s">
        <v>55</v>
      </c>
      <c r="B14" s="8">
        <f t="shared" ref="B14:M14" si="0">SUM(B6:B12)</f>
        <v>1.0009999999999999</v>
      </c>
      <c r="C14" s="8">
        <f t="shared" si="0"/>
        <v>1.0009999999999999</v>
      </c>
      <c r="D14" s="8">
        <f t="shared" si="0"/>
        <v>1.002</v>
      </c>
      <c r="E14" s="8">
        <f t="shared" si="0"/>
        <v>1.0029999999999999</v>
      </c>
      <c r="F14" s="8">
        <f t="shared" si="0"/>
        <v>1.002</v>
      </c>
      <c r="G14" s="8">
        <f t="shared" si="0"/>
        <v>1.0009999999999999</v>
      </c>
      <c r="H14" s="8">
        <f t="shared" si="0"/>
        <v>1.002</v>
      </c>
      <c r="I14" s="8">
        <f t="shared" si="0"/>
        <v>1.0020000000000002</v>
      </c>
      <c r="J14" s="8">
        <f t="shared" si="0"/>
        <v>1.0009999999999999</v>
      </c>
      <c r="K14" s="8">
        <f t="shared" si="0"/>
        <v>1.0009999999999999</v>
      </c>
      <c r="L14" s="8">
        <f t="shared" si="0"/>
        <v>1.0009999999999999</v>
      </c>
      <c r="M14" s="8">
        <f t="shared" si="0"/>
        <v>1.002</v>
      </c>
    </row>
    <row r="15" spans="1:13" x14ac:dyDescent="0.3">
      <c r="A15" s="9" t="s">
        <v>56</v>
      </c>
      <c r="B15" s="8">
        <f t="shared" ref="B15:M15" si="1">B14-B13</f>
        <v>9.9999999999988987E-4</v>
      </c>
      <c r="C15" s="8">
        <f t="shared" si="1"/>
        <v>9.9999999999988987E-4</v>
      </c>
      <c r="D15" s="8">
        <f t="shared" si="1"/>
        <v>2.0000000000000018E-3</v>
      </c>
      <c r="E15" s="8">
        <f t="shared" si="1"/>
        <v>2.9999999999998916E-3</v>
      </c>
      <c r="F15" s="8">
        <f t="shared" si="1"/>
        <v>2.0000000000000018E-3</v>
      </c>
      <c r="G15" s="8">
        <f t="shared" si="1"/>
        <v>9.9999999999988987E-4</v>
      </c>
      <c r="H15" s="8">
        <f t="shared" si="1"/>
        <v>2.0000000000000018E-3</v>
      </c>
      <c r="I15" s="8">
        <f t="shared" si="1"/>
        <v>2.0000000000002238E-3</v>
      </c>
      <c r="J15" s="8">
        <f t="shared" si="1"/>
        <v>9.9999999999988987E-4</v>
      </c>
      <c r="K15" s="8">
        <f t="shared" si="1"/>
        <v>9.9999999999988987E-4</v>
      </c>
      <c r="L15" s="8">
        <f t="shared" si="1"/>
        <v>9.9999999999988987E-4</v>
      </c>
      <c r="M15" s="8">
        <f t="shared" si="1"/>
        <v>2.0000000000000018E-3</v>
      </c>
    </row>
  </sheetData>
  <autoFilter ref="A5:M13" xr:uid="{00000000-0009-0000-0000-00000A000000}"/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"/>
  <cols>
    <col min="1" max="1" width="58.75" customWidth="1"/>
    <col min="2" max="13" width="12.75" customWidth="1"/>
    <col min="14" max="14" width="13.75" customWidth="1"/>
  </cols>
  <sheetData>
    <row r="1" spans="1:13" ht="22.2" x14ac:dyDescent="0.4">
      <c r="A1" s="1" t="s">
        <v>33</v>
      </c>
    </row>
    <row r="2" spans="1:13" ht="45" x14ac:dyDescent="0.3">
      <c r="A2" s="6" t="s">
        <v>4</v>
      </c>
      <c r="B2" s="3" t="s">
        <v>34</v>
      </c>
    </row>
    <row r="3" spans="1:13" x14ac:dyDescent="0.3">
      <c r="A3" s="6" t="s">
        <v>35</v>
      </c>
      <c r="B3" s="3" t="s">
        <v>36</v>
      </c>
    </row>
    <row r="4" spans="1:13" ht="75" x14ac:dyDescent="0.3">
      <c r="A4" s="6" t="s">
        <v>69</v>
      </c>
      <c r="B4" s="3" t="s">
        <v>70</v>
      </c>
    </row>
    <row r="5" spans="1:13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x14ac:dyDescent="0.3">
      <c r="A6" s="7" t="s">
        <v>149</v>
      </c>
      <c r="B6" s="8">
        <v>0.43799999999999989</v>
      </c>
      <c r="C6" s="8">
        <v>0.29799999999999999</v>
      </c>
      <c r="D6" s="8">
        <v>0.43</v>
      </c>
      <c r="E6" s="8">
        <v>0.47799999999999998</v>
      </c>
      <c r="F6" s="8">
        <v>0.64800000000000002</v>
      </c>
      <c r="G6" s="8">
        <v>0.63300000000000001</v>
      </c>
      <c r="H6" s="8">
        <v>0.61299999999999999</v>
      </c>
      <c r="I6" s="8">
        <v>0.40300000000000002</v>
      </c>
      <c r="J6" s="8">
        <v>0.57799999999999996</v>
      </c>
      <c r="K6" s="8">
        <v>0.69299999999999995</v>
      </c>
      <c r="L6" s="8">
        <v>0.40799999999999997</v>
      </c>
      <c r="M6" s="8">
        <v>0.42499999999999999</v>
      </c>
    </row>
    <row r="7" spans="1:13" x14ac:dyDescent="0.3">
      <c r="A7" s="7" t="s">
        <v>150</v>
      </c>
      <c r="B7" s="8">
        <v>0.31</v>
      </c>
      <c r="C7" s="8">
        <v>0.45300000000000001</v>
      </c>
      <c r="D7" s="8">
        <v>0.35799999999999998</v>
      </c>
      <c r="E7" s="8">
        <v>0.41299999999999998</v>
      </c>
      <c r="F7" s="8">
        <v>0.67</v>
      </c>
      <c r="G7" s="8">
        <v>0.69299999999999995</v>
      </c>
      <c r="H7" s="8">
        <v>0.66799999999999993</v>
      </c>
      <c r="I7" s="8">
        <v>0.40300000000000002</v>
      </c>
      <c r="J7" s="8">
        <v>0.58799999999999997</v>
      </c>
      <c r="K7" s="8">
        <v>0.66299999999999992</v>
      </c>
      <c r="L7" s="8">
        <v>0.39500000000000002</v>
      </c>
      <c r="M7" s="8">
        <v>0.31</v>
      </c>
    </row>
    <row r="8" spans="1:13" x14ac:dyDescent="0.3">
      <c r="A8" s="7" t="s">
        <v>151</v>
      </c>
      <c r="B8" s="8">
        <v>0.30499999999999999</v>
      </c>
      <c r="C8" s="8">
        <v>0.315</v>
      </c>
      <c r="D8" s="8">
        <v>0.35</v>
      </c>
      <c r="E8" s="8">
        <v>0.36799999999999999</v>
      </c>
      <c r="F8" s="8">
        <v>0.49299999999999999</v>
      </c>
      <c r="G8" s="8">
        <v>0.55299999999999994</v>
      </c>
      <c r="H8" s="8">
        <v>0.59299999999999997</v>
      </c>
      <c r="I8" s="8">
        <v>0.43</v>
      </c>
      <c r="J8" s="8">
        <v>0.42299999999999999</v>
      </c>
      <c r="K8" s="8">
        <v>0.53</v>
      </c>
      <c r="L8" s="8">
        <v>0.48</v>
      </c>
      <c r="M8" s="8">
        <v>0.503</v>
      </c>
    </row>
    <row r="9" spans="1:13" x14ac:dyDescent="0.3">
      <c r="A9" s="7" t="s">
        <v>152</v>
      </c>
      <c r="B9" s="8">
        <v>0.34</v>
      </c>
      <c r="C9" s="8">
        <v>0.23799999999999999</v>
      </c>
      <c r="D9" s="8">
        <v>0.318</v>
      </c>
      <c r="E9" s="8">
        <v>0.46</v>
      </c>
      <c r="F9" s="8">
        <v>0.54799999999999993</v>
      </c>
      <c r="G9" s="8">
        <v>0.34</v>
      </c>
      <c r="H9" s="8">
        <v>0.42499999999999999</v>
      </c>
      <c r="I9" s="8">
        <v>0.41499999999999998</v>
      </c>
      <c r="J9" s="8">
        <v>0.35299999999999998</v>
      </c>
      <c r="K9" s="8">
        <v>0.54500000000000004</v>
      </c>
      <c r="L9" s="8">
        <v>0.36799999999999999</v>
      </c>
      <c r="M9" s="8">
        <v>0.36799999999999999</v>
      </c>
    </row>
    <row r="10" spans="1:13" x14ac:dyDescent="0.3">
      <c r="A10" s="7" t="s">
        <v>153</v>
      </c>
      <c r="B10" s="8">
        <v>0.33</v>
      </c>
      <c r="C10" s="8">
        <v>0.28299999999999997</v>
      </c>
      <c r="D10" s="8">
        <v>0.35799999999999998</v>
      </c>
      <c r="E10" s="8">
        <v>0.35499999999999998</v>
      </c>
      <c r="F10" s="8">
        <v>0.42</v>
      </c>
      <c r="G10" s="8">
        <v>0.45300000000000001</v>
      </c>
      <c r="H10" s="8">
        <v>0.498</v>
      </c>
      <c r="I10" s="8">
        <v>0.41299999999999998</v>
      </c>
      <c r="J10" s="8">
        <v>0.308</v>
      </c>
      <c r="K10" s="8">
        <v>0.47499999999999998</v>
      </c>
      <c r="L10" s="8">
        <v>0.32</v>
      </c>
      <c r="M10" s="8">
        <v>0.33500000000000002</v>
      </c>
    </row>
    <row r="11" spans="1:13" x14ac:dyDescent="0.3">
      <c r="A11" s="7" t="s">
        <v>154</v>
      </c>
      <c r="B11" s="8">
        <v>0.33300000000000002</v>
      </c>
      <c r="C11" s="8">
        <v>0.42499999999999999</v>
      </c>
      <c r="D11" s="8">
        <v>0.33300000000000002</v>
      </c>
      <c r="E11" s="8">
        <v>0.39300000000000002</v>
      </c>
      <c r="F11" s="8">
        <v>0.35499999999999998</v>
      </c>
      <c r="G11" s="8">
        <v>0.48299999999999998</v>
      </c>
      <c r="H11" s="8">
        <v>0.46800000000000003</v>
      </c>
      <c r="I11" s="8">
        <v>0.36</v>
      </c>
      <c r="J11" s="8">
        <v>0.44800000000000001</v>
      </c>
      <c r="K11" s="8">
        <v>0.42799999999999999</v>
      </c>
      <c r="L11" s="8">
        <v>0.218</v>
      </c>
      <c r="M11" s="8">
        <v>0.255</v>
      </c>
    </row>
    <row r="12" spans="1:13" x14ac:dyDescent="0.3">
      <c r="A12" s="7" t="s">
        <v>155</v>
      </c>
      <c r="B12" s="8">
        <v>0.20799999999999999</v>
      </c>
      <c r="C12" s="8">
        <v>0.23300000000000001</v>
      </c>
      <c r="D12" s="8">
        <v>0.28299999999999997</v>
      </c>
      <c r="E12" s="8">
        <v>0.38</v>
      </c>
      <c r="F12" s="8">
        <v>0.313</v>
      </c>
      <c r="G12" s="8">
        <v>0.45300000000000001</v>
      </c>
      <c r="H12" s="8">
        <v>0.49</v>
      </c>
      <c r="I12" s="8">
        <v>0.24</v>
      </c>
      <c r="J12" s="8">
        <v>0.36299999999999999</v>
      </c>
      <c r="K12" s="8">
        <v>0.36299999999999999</v>
      </c>
      <c r="L12" s="8">
        <v>0.315</v>
      </c>
      <c r="M12" s="8">
        <v>0.35</v>
      </c>
    </row>
    <row r="13" spans="1:13" x14ac:dyDescent="0.3">
      <c r="A13" s="7" t="s">
        <v>156</v>
      </c>
      <c r="B13" s="8">
        <v>0.22500000000000001</v>
      </c>
      <c r="C13" s="8">
        <v>0.23300000000000001</v>
      </c>
      <c r="D13" s="8">
        <v>0.27300000000000002</v>
      </c>
      <c r="E13" s="8">
        <v>0.26800000000000002</v>
      </c>
      <c r="F13" s="8">
        <v>0.35299999999999998</v>
      </c>
      <c r="G13" s="8">
        <v>0.46300000000000002</v>
      </c>
      <c r="H13" s="8">
        <v>0.375</v>
      </c>
      <c r="I13" s="8">
        <v>0.3</v>
      </c>
      <c r="J13" s="8">
        <v>0.20499999999999999</v>
      </c>
      <c r="K13" s="8">
        <v>0.41799999999999998</v>
      </c>
      <c r="L13" s="8">
        <v>0.34300000000000003</v>
      </c>
      <c r="M13" s="8">
        <v>0.29499999999999998</v>
      </c>
    </row>
    <row r="14" spans="1:13" x14ac:dyDescent="0.3">
      <c r="A14" s="7" t="s">
        <v>157</v>
      </c>
      <c r="B14" s="8">
        <v>0.25</v>
      </c>
      <c r="C14" s="8">
        <v>0.28799999999999998</v>
      </c>
      <c r="D14" s="8">
        <v>0.313</v>
      </c>
      <c r="E14" s="8">
        <v>0.435</v>
      </c>
      <c r="F14" s="8">
        <v>0.23</v>
      </c>
      <c r="G14" s="8">
        <v>0.35299999999999998</v>
      </c>
      <c r="H14" s="8">
        <v>0.4</v>
      </c>
      <c r="I14" s="8">
        <v>0.30499999999999999</v>
      </c>
      <c r="J14" s="8">
        <v>0.24299999999999999</v>
      </c>
      <c r="K14" s="8">
        <v>0.36299999999999999</v>
      </c>
      <c r="L14" s="8">
        <v>0.29499999999999998</v>
      </c>
      <c r="M14" s="8">
        <v>0.26300000000000001</v>
      </c>
    </row>
    <row r="15" spans="1:13" x14ac:dyDescent="0.3">
      <c r="A15" s="7" t="s">
        <v>158</v>
      </c>
      <c r="B15" s="8">
        <v>0.158</v>
      </c>
      <c r="C15" s="8">
        <v>0.20499999999999999</v>
      </c>
      <c r="D15" s="8">
        <v>0.13800000000000001</v>
      </c>
      <c r="E15" s="8">
        <v>0.16500000000000001</v>
      </c>
      <c r="F15" s="8">
        <v>0.35</v>
      </c>
      <c r="G15" s="8">
        <v>0.38800000000000001</v>
      </c>
      <c r="H15" s="8">
        <v>0.46800000000000003</v>
      </c>
      <c r="I15" s="8">
        <v>0.28799999999999998</v>
      </c>
      <c r="J15" s="8">
        <v>0.37</v>
      </c>
      <c r="K15" s="8">
        <v>0.375</v>
      </c>
      <c r="L15" s="8">
        <v>0.22500000000000001</v>
      </c>
      <c r="M15" s="8">
        <v>0.26300000000000001</v>
      </c>
    </row>
    <row r="16" spans="1:13" x14ac:dyDescent="0.3">
      <c r="A16" s="7" t="s">
        <v>159</v>
      </c>
      <c r="B16" s="8">
        <v>0.155</v>
      </c>
      <c r="C16" s="8">
        <v>0.24</v>
      </c>
      <c r="D16" s="8">
        <v>0.16800000000000001</v>
      </c>
      <c r="E16" s="8">
        <v>0.25800000000000001</v>
      </c>
      <c r="F16" s="8">
        <v>0.36799999999999999</v>
      </c>
      <c r="G16" s="8">
        <v>0.48299999999999998</v>
      </c>
      <c r="H16" s="8">
        <v>0.183</v>
      </c>
      <c r="I16" s="8">
        <v>0.30299999999999999</v>
      </c>
      <c r="J16" s="8">
        <v>0.3</v>
      </c>
      <c r="K16" s="8">
        <v>0.42</v>
      </c>
      <c r="L16" s="8">
        <v>0.22800000000000001</v>
      </c>
      <c r="M16" s="8">
        <v>0.18</v>
      </c>
    </row>
    <row r="17" spans="1:13" x14ac:dyDescent="0.3">
      <c r="A17" s="7" t="s">
        <v>160</v>
      </c>
      <c r="B17" s="8">
        <v>0.26</v>
      </c>
      <c r="C17" s="8">
        <v>0.28799999999999998</v>
      </c>
      <c r="D17" s="8">
        <v>0.3</v>
      </c>
      <c r="E17" s="8">
        <v>0.28799999999999998</v>
      </c>
      <c r="F17" s="8">
        <v>0.40500000000000003</v>
      </c>
      <c r="G17" s="8">
        <v>0.29299999999999998</v>
      </c>
      <c r="H17" s="8">
        <v>0.33500000000000002</v>
      </c>
      <c r="I17" s="8">
        <v>0.24299999999999999</v>
      </c>
      <c r="J17" s="8">
        <v>0.22500000000000001</v>
      </c>
      <c r="K17" s="8">
        <v>0.308</v>
      </c>
      <c r="L17" s="8">
        <v>0.16300000000000001</v>
      </c>
      <c r="M17" s="8">
        <v>0.125</v>
      </c>
    </row>
    <row r="18" spans="1:13" x14ac:dyDescent="0.3">
      <c r="A18" s="7" t="s">
        <v>161</v>
      </c>
      <c r="B18" s="8">
        <v>0.215</v>
      </c>
      <c r="C18" s="8">
        <v>0.20499999999999999</v>
      </c>
      <c r="D18" s="8">
        <v>0.20799999999999999</v>
      </c>
      <c r="E18" s="8">
        <v>0.183</v>
      </c>
      <c r="F18" s="8">
        <v>0.27</v>
      </c>
      <c r="G18" s="8">
        <v>0.32300000000000001</v>
      </c>
      <c r="H18" s="8">
        <v>0.26800000000000002</v>
      </c>
      <c r="I18" s="8">
        <v>0.253</v>
      </c>
      <c r="J18" s="8">
        <v>0.39800000000000002</v>
      </c>
      <c r="K18" s="8">
        <v>0.37</v>
      </c>
      <c r="L18" s="8">
        <v>0.23</v>
      </c>
      <c r="M18" s="8">
        <v>0.26800000000000002</v>
      </c>
    </row>
    <row r="19" spans="1:13" x14ac:dyDescent="0.3">
      <c r="A19" s="7" t="s">
        <v>162</v>
      </c>
      <c r="B19" s="8">
        <v>0.115</v>
      </c>
      <c r="C19" s="8">
        <v>0.193</v>
      </c>
      <c r="D19" s="8">
        <v>0.22</v>
      </c>
      <c r="E19" s="8">
        <v>0.27</v>
      </c>
      <c r="F19" s="8">
        <v>0.28499999999999998</v>
      </c>
      <c r="G19" s="8">
        <v>0.35</v>
      </c>
      <c r="H19" s="8">
        <v>0.32</v>
      </c>
      <c r="I19" s="8">
        <v>0.22800000000000001</v>
      </c>
      <c r="J19" s="8">
        <v>0.245</v>
      </c>
      <c r="K19" s="8">
        <v>0.255</v>
      </c>
      <c r="L19" s="8">
        <v>0.22</v>
      </c>
      <c r="M19" s="8">
        <v>0.20799999999999999</v>
      </c>
    </row>
    <row r="20" spans="1:13" x14ac:dyDescent="0.3">
      <c r="A20" s="7" t="s">
        <v>163</v>
      </c>
      <c r="B20" s="8">
        <v>0.12</v>
      </c>
      <c r="C20" s="8">
        <v>0.13</v>
      </c>
      <c r="D20" s="8">
        <v>0.10299999999999999</v>
      </c>
      <c r="E20" s="8">
        <v>0.158</v>
      </c>
      <c r="F20" s="8">
        <v>0.26500000000000001</v>
      </c>
      <c r="G20" s="8">
        <v>0.35499999999999998</v>
      </c>
      <c r="H20" s="8">
        <v>0.183</v>
      </c>
      <c r="I20" s="8">
        <v>0.188</v>
      </c>
      <c r="J20" s="8">
        <v>0.42799999999999999</v>
      </c>
      <c r="K20" s="8">
        <v>0.35299999999999998</v>
      </c>
      <c r="L20" s="8">
        <v>0.185</v>
      </c>
      <c r="M20" s="8">
        <v>0.19500000000000001</v>
      </c>
    </row>
    <row r="21" spans="1:13" x14ac:dyDescent="0.3">
      <c r="A21" s="7" t="s">
        <v>164</v>
      </c>
      <c r="B21" s="8">
        <v>0.32300000000000001</v>
      </c>
      <c r="C21" s="8">
        <v>0.14799999999999999</v>
      </c>
      <c r="D21" s="8">
        <v>0.20300000000000001</v>
      </c>
      <c r="E21" s="8">
        <v>0.24</v>
      </c>
      <c r="F21" s="8">
        <v>0.14000000000000001</v>
      </c>
      <c r="G21" s="8">
        <v>0.2</v>
      </c>
      <c r="H21" s="8">
        <v>0.30299999999999999</v>
      </c>
      <c r="I21" s="8">
        <v>0.24</v>
      </c>
      <c r="J21" s="8">
        <v>0.22500000000000001</v>
      </c>
      <c r="K21" s="8">
        <v>0.14799999999999999</v>
      </c>
      <c r="L21" s="8">
        <v>0.17799999999999999</v>
      </c>
      <c r="M21" s="8">
        <v>0.15</v>
      </c>
    </row>
    <row r="22" spans="1:13" x14ac:dyDescent="0.3">
      <c r="A22" s="7" t="s">
        <v>165</v>
      </c>
      <c r="B22" s="8">
        <v>9.3000000000000013E-2</v>
      </c>
      <c r="C22" s="8">
        <v>0.183</v>
      </c>
      <c r="D22" s="8">
        <v>0.16300000000000001</v>
      </c>
      <c r="E22" s="8">
        <v>0.17299999999999999</v>
      </c>
      <c r="F22" s="8">
        <v>0.25</v>
      </c>
      <c r="G22" s="8">
        <v>0.253</v>
      </c>
      <c r="H22" s="8">
        <v>0.26300000000000001</v>
      </c>
      <c r="I22" s="8">
        <v>0.22</v>
      </c>
      <c r="J22" s="8">
        <v>0.30499999999999999</v>
      </c>
      <c r="K22" s="8">
        <v>0.23</v>
      </c>
      <c r="L22" s="8">
        <v>0.123</v>
      </c>
      <c r="M22" s="8">
        <v>0.12</v>
      </c>
    </row>
    <row r="23" spans="1:13" x14ac:dyDescent="0.3">
      <c r="A23" s="7" t="s">
        <v>166</v>
      </c>
      <c r="B23" s="8">
        <v>0.05</v>
      </c>
      <c r="C23" s="8">
        <v>0.10299999999999999</v>
      </c>
      <c r="D23" s="8">
        <v>0.125</v>
      </c>
      <c r="E23" s="8">
        <v>8.8000000000000009E-2</v>
      </c>
      <c r="F23" s="8">
        <v>0.11799999999999999</v>
      </c>
      <c r="G23" s="8">
        <v>0.19800000000000001</v>
      </c>
      <c r="H23" s="8">
        <v>7.4999999999999997E-2</v>
      </c>
      <c r="I23" s="8">
        <v>0.12</v>
      </c>
      <c r="J23" s="8">
        <v>0.125</v>
      </c>
      <c r="K23" s="8">
        <v>0.15</v>
      </c>
      <c r="L23" s="8">
        <v>7.0000000000000007E-2</v>
      </c>
      <c r="M23" s="8">
        <v>7.0000000000000007E-2</v>
      </c>
    </row>
    <row r="24" spans="1:13" x14ac:dyDescent="0.3">
      <c r="A24" s="7" t="s">
        <v>167</v>
      </c>
      <c r="B24" s="8">
        <v>8.0000000000000002E-3</v>
      </c>
      <c r="C24" s="8">
        <v>8.0000000000000002E-3</v>
      </c>
      <c r="D24" s="8">
        <v>3.0000000000000001E-3</v>
      </c>
      <c r="E24" s="8">
        <v>8.0000000000000002E-3</v>
      </c>
      <c r="F24" s="8">
        <v>3.0000000000000001E-3</v>
      </c>
      <c r="G24" s="8">
        <v>5.0000000000000001E-3</v>
      </c>
      <c r="H24" s="8"/>
      <c r="I24" s="8">
        <v>1.2999999999999999E-2</v>
      </c>
      <c r="J24" s="8">
        <v>3.0000000000000001E-3</v>
      </c>
      <c r="K24" s="8"/>
      <c r="L24" s="8">
        <v>0.01</v>
      </c>
      <c r="M24" s="8">
        <v>1.4999999999999999E-2</v>
      </c>
    </row>
  </sheetData>
  <autoFilter ref="A5:M25" xr:uid="{00000000-0009-0000-0000-00000B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目錄</vt:lpstr>
      <vt:lpstr>01_交叉分析_性別</vt:lpstr>
      <vt:lpstr>02_旅行頻度_同行者</vt:lpstr>
      <vt:lpstr>03_大阪認知_訪問経験</vt:lpstr>
      <vt:lpstr>04_旅遊意向</vt:lpstr>
      <vt:lpstr>05_目的地重視点</vt:lpstr>
      <vt:lpstr>06_大阪目的地形象</vt:lpstr>
      <vt:lpstr>07_活動選定因素</vt:lpstr>
      <vt:lpstr>08_大阪活動意向</vt:lpstr>
      <vt:lpstr>09_交通手段決定時期</vt:lpstr>
      <vt:lpstr>10_資訊收集來源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大阪海外市場調查數據表格版</dc:title>
  <dc:creator>OpenAI</dc:creator>
  <cp:lastModifiedBy>direct059</cp:lastModifiedBy>
  <dcterms:created xsi:type="dcterms:W3CDTF">2026-05-25T08:47:39Z</dcterms:created>
  <dcterms:modified xsi:type="dcterms:W3CDTF">2026-05-25T09:01:00Z</dcterms:modified>
</cp:coreProperties>
</file>